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xr:revisionPtr revIDLastSave="0" documentId="13_ncr:1_{EAC2A35A-F031-4378-B0E5-22087727206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eedback" sheetId="1" r:id="rId1"/>
    <sheet name="Calificar" sheetId="2" r:id="rId2"/>
    <sheet name="Importar" sheetId="3" r:id="rId3"/>
    <sheet name="Analítica" sheetId="4" r:id="rId4"/>
  </sheets>
  <definedNames>
    <definedName name="_xlnm._FilterDatabase" localSheetId="1" hidden="1">Calificar!$A$4:$V$4</definedName>
    <definedName name="_xlchart.v1.0" hidden="1">Importar!$F$3:$F$47</definedName>
    <definedName name="_xlnm.Print_Area" localSheetId="3">Analítica!$A$1:$F$82</definedName>
    <definedName name="_xlnm.Print_Area" localSheetId="1">Calificar!$A$1:$S$64</definedName>
    <definedName name="_xlnm.Print_Area" localSheetId="0">Feedback!$A$1:$I$59</definedName>
    <definedName name="_xlnm.Print_Area" localSheetId="2">Importar!$A$1:$M$62</definedName>
    <definedName name="Puntos">Feedback!$C$9:$I$9</definedName>
    <definedName name="Puntos_PA">Feedback!$C$8:$D$8</definedName>
    <definedName name="Puntos_TE">Feedback!$C$6:$D$6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hZyNIlgeG4lGYSxRC3B17VaVUHYQ=="/>
    </ext>
  </extLst>
</workbook>
</file>

<file path=xl/calcChain.xml><?xml version="1.0" encoding="utf-8"?>
<calcChain xmlns="http://schemas.openxmlformats.org/spreadsheetml/2006/main">
  <c r="R5" i="2" l="1"/>
  <c r="Q5" i="2"/>
  <c r="U5" i="2" a="1"/>
  <c r="U5" i="2" s="1"/>
  <c r="U6" i="2" a="1"/>
  <c r="U6" i="2" s="1"/>
  <c r="V6" i="2" s="1"/>
  <c r="U7" i="2" a="1"/>
  <c r="U7" i="2" s="1"/>
  <c r="V7" i="2" s="1"/>
  <c r="U8" i="2" a="1"/>
  <c r="U8" i="2" s="1"/>
  <c r="V8" i="2" s="1"/>
  <c r="U9" i="2" a="1"/>
  <c r="U9" i="2" s="1"/>
  <c r="V9" i="2" s="1"/>
  <c r="U10" i="2" a="1"/>
  <c r="U10" i="2" s="1"/>
  <c r="V10" i="2" s="1"/>
  <c r="U11" i="2" a="1"/>
  <c r="U11" i="2" s="1"/>
  <c r="V11" i="2" s="1"/>
  <c r="U12" i="2" a="1"/>
  <c r="U12" i="2" s="1"/>
  <c r="V12" i="2" s="1"/>
  <c r="U13" i="2" a="1"/>
  <c r="U13" i="2" s="1"/>
  <c r="V13" i="2" s="1"/>
  <c r="U14" i="2" a="1"/>
  <c r="U14" i="2" s="1"/>
  <c r="V14" i="2" s="1"/>
  <c r="U15" i="2" a="1"/>
  <c r="U15" i="2" s="1"/>
  <c r="V15" i="2" s="1"/>
  <c r="U16" i="2" a="1"/>
  <c r="U16" i="2" s="1"/>
  <c r="V16" i="2" s="1"/>
  <c r="U17" i="2" a="1"/>
  <c r="U17" i="2" s="1"/>
  <c r="V17" i="2" s="1"/>
  <c r="U18" i="2" a="1"/>
  <c r="U18" i="2" s="1"/>
  <c r="V18" i="2" s="1"/>
  <c r="U19" i="2" a="1"/>
  <c r="U19" i="2" s="1"/>
  <c r="V19" i="2" s="1"/>
  <c r="U20" i="2" a="1"/>
  <c r="U20" i="2" s="1"/>
  <c r="V20" i="2" s="1"/>
  <c r="U21" i="2" a="1"/>
  <c r="U21" i="2" s="1"/>
  <c r="V21" i="2" s="1"/>
  <c r="U22" i="2" a="1"/>
  <c r="U22" i="2" s="1"/>
  <c r="V22" i="2" s="1"/>
  <c r="U23" i="2" a="1"/>
  <c r="U23" i="2" s="1"/>
  <c r="V23" i="2" s="1"/>
  <c r="U24" i="2" a="1"/>
  <c r="U24" i="2" s="1"/>
  <c r="V24" i="2" s="1"/>
  <c r="U25" i="2" a="1"/>
  <c r="U25" i="2" s="1"/>
  <c r="V25" i="2" s="1"/>
  <c r="U26" i="2" a="1"/>
  <c r="U26" i="2" s="1"/>
  <c r="V26" i="2" s="1"/>
  <c r="U27" i="2" a="1"/>
  <c r="U27" i="2" s="1"/>
  <c r="V27" i="2" s="1"/>
  <c r="U28" i="2" a="1"/>
  <c r="U28" i="2" s="1"/>
  <c r="V28" i="2" s="1"/>
  <c r="U29" i="2" a="1"/>
  <c r="U29" i="2" s="1"/>
  <c r="V29" i="2" s="1"/>
  <c r="U30" i="2" a="1"/>
  <c r="U30" i="2" s="1"/>
  <c r="V30" i="2" s="1"/>
  <c r="U31" i="2" a="1"/>
  <c r="U31" i="2" s="1"/>
  <c r="V31" i="2" s="1"/>
  <c r="U32" i="2" a="1"/>
  <c r="U32" i="2" s="1"/>
  <c r="V32" i="2" s="1"/>
  <c r="U33" i="2" a="1"/>
  <c r="U33" i="2" s="1"/>
  <c r="V33" i="2" s="1"/>
  <c r="U34" i="2" a="1"/>
  <c r="U34" i="2" s="1"/>
  <c r="V34" i="2" s="1"/>
  <c r="U35" i="2" a="1"/>
  <c r="U35" i="2" s="1"/>
  <c r="V35" i="2" s="1"/>
  <c r="U36" i="2" a="1"/>
  <c r="U36" i="2" s="1"/>
  <c r="V36" i="2" s="1"/>
  <c r="U37" i="2" a="1"/>
  <c r="U37" i="2" s="1"/>
  <c r="V37" i="2" s="1"/>
  <c r="U38" i="2" a="1"/>
  <c r="U38" i="2" s="1"/>
  <c r="V38" i="2" s="1"/>
  <c r="U39" i="2" a="1"/>
  <c r="U39" i="2" s="1"/>
  <c r="V39" i="2" s="1"/>
  <c r="U40" i="2" a="1"/>
  <c r="U40" i="2" s="1"/>
  <c r="V40" i="2" s="1"/>
  <c r="U41" i="2" a="1"/>
  <c r="U41" i="2" s="1"/>
  <c r="V41" i="2" s="1"/>
  <c r="U42" i="2" a="1"/>
  <c r="U42" i="2" s="1"/>
  <c r="V42" i="2" s="1"/>
  <c r="U43" i="2" a="1"/>
  <c r="U43" i="2" s="1"/>
  <c r="V43" i="2" s="1"/>
  <c r="U44" i="2" a="1"/>
  <c r="U44" i="2" s="1"/>
  <c r="V44" i="2" s="1"/>
  <c r="U45" i="2" a="1"/>
  <c r="U45" i="2" s="1"/>
  <c r="V45" i="2" s="1"/>
  <c r="U46" i="2" a="1"/>
  <c r="U46" i="2" s="1"/>
  <c r="V46" i="2" s="1"/>
  <c r="U47" i="2" a="1"/>
  <c r="U47" i="2" s="1"/>
  <c r="V47" i="2" s="1"/>
  <c r="U48" i="2" a="1"/>
  <c r="U48" i="2" s="1"/>
  <c r="V48" i="2" s="1"/>
  <c r="U49" i="2" a="1"/>
  <c r="U49" i="2" s="1"/>
  <c r="V49" i="2" s="1"/>
  <c r="U50" i="2" a="1"/>
  <c r="U50" i="2" s="1"/>
  <c r="V50" i="2" s="1"/>
  <c r="U51" i="2" a="1"/>
  <c r="U51" i="2" s="1"/>
  <c r="V51" i="2" s="1"/>
  <c r="U52" i="2" a="1"/>
  <c r="U52" i="2" s="1"/>
  <c r="V52" i="2" s="1"/>
  <c r="U53" i="2" a="1"/>
  <c r="U53" i="2" s="1"/>
  <c r="V53" i="2" s="1"/>
  <c r="U54" i="2" a="1"/>
  <c r="U54" i="2" s="1"/>
  <c r="V54" i="2" s="1"/>
  <c r="U55" i="2" a="1"/>
  <c r="U55" i="2" s="1"/>
  <c r="V55" i="2" s="1"/>
  <c r="U56" i="2" a="1"/>
  <c r="U56" i="2" s="1"/>
  <c r="V56" i="2" s="1"/>
  <c r="U57" i="2" a="1"/>
  <c r="U57" i="2" s="1"/>
  <c r="V57" i="2" s="1"/>
  <c r="U58" i="2" a="1"/>
  <c r="U58" i="2" s="1"/>
  <c r="V58" i="2" s="1"/>
  <c r="U59" i="2" a="1"/>
  <c r="U59" i="2" s="1"/>
  <c r="V59" i="2" s="1"/>
  <c r="U60" i="2" a="1"/>
  <c r="U60" i="2" s="1"/>
  <c r="V60" i="2" s="1"/>
  <c r="U61" i="2" a="1"/>
  <c r="U61" i="2" s="1"/>
  <c r="V61" i="2" s="1"/>
  <c r="U62" i="2" a="1"/>
  <c r="U62" i="2" s="1"/>
  <c r="V62" i="2" s="1"/>
  <c r="U63" i="2" a="1"/>
  <c r="U63" i="2" s="1"/>
  <c r="V63" i="2" s="1"/>
  <c r="U64" i="2" a="1"/>
  <c r="U64" i="2" s="1"/>
  <c r="V64" i="2" s="1"/>
  <c r="M5" i="2" a="1"/>
  <c r="P6" i="2" a="1"/>
  <c r="O7" i="2" a="1"/>
  <c r="N8" i="2" a="1"/>
  <c r="M9" i="2" a="1"/>
  <c r="P10" i="2" a="1"/>
  <c r="O11" i="2" a="1"/>
  <c r="N12" i="2" a="1"/>
  <c r="M13" i="2" a="1"/>
  <c r="P14" i="2" a="1"/>
  <c r="N16" i="2" a="1"/>
  <c r="O19" i="2" a="1"/>
  <c r="M21" i="2" a="1"/>
  <c r="P22" i="2" a="1"/>
  <c r="N24" i="2" a="1"/>
  <c r="O27" i="2" a="1"/>
  <c r="M29" i="2" a="1"/>
  <c r="O31" i="2" a="1"/>
  <c r="M33" i="2" a="1"/>
  <c r="P34" i="2" a="1"/>
  <c r="N9" i="2" a="1"/>
  <c r="O16" i="2" a="1"/>
  <c r="M18" i="2" a="1"/>
  <c r="P19" i="2" a="1"/>
  <c r="N21" i="2" a="1"/>
  <c r="O24" i="2" a="1"/>
  <c r="M26" i="2" a="1"/>
  <c r="P27" i="2" a="1"/>
  <c r="N29" i="2" a="1"/>
  <c r="N5" i="2" a="1"/>
  <c r="M6" i="2" a="1"/>
  <c r="P7" i="2" a="1"/>
  <c r="O8" i="2" a="1"/>
  <c r="M10" i="2" a="1"/>
  <c r="P11" i="2" a="1"/>
  <c r="O12" i="2" a="1"/>
  <c r="N13" i="2" a="1"/>
  <c r="M14" i="2" a="1"/>
  <c r="P15" i="2" a="1"/>
  <c r="N17" i="2" a="1"/>
  <c r="O20" i="2" a="1"/>
  <c r="M22" i="2" a="1"/>
  <c r="P23" i="2" a="1"/>
  <c r="N25" i="2" a="1"/>
  <c r="O28" i="2" a="1"/>
  <c r="O9" i="2" a="1"/>
  <c r="N14" i="2" a="1"/>
  <c r="O17" i="2" a="1"/>
  <c r="M19" i="2" a="1"/>
  <c r="P20" i="2" a="1"/>
  <c r="N22" i="2" a="1"/>
  <c r="O25" i="2" a="1"/>
  <c r="M27" i="2" a="1"/>
  <c r="P28" i="2" a="1"/>
  <c r="N30" i="2" a="1"/>
  <c r="M31" i="2" a="1"/>
  <c r="P32" i="2" a="1"/>
  <c r="N34" i="2" a="1"/>
  <c r="O5" i="2" a="1"/>
  <c r="N6" i="2" a="1"/>
  <c r="M7" i="2" a="1"/>
  <c r="P8" i="2" a="1"/>
  <c r="N10" i="2" a="1"/>
  <c r="M11" i="2" a="1"/>
  <c r="P12" i="2" a="1"/>
  <c r="O13" i="2" a="1"/>
  <c r="M15" i="2" a="1"/>
  <c r="P16" i="2" a="1"/>
  <c r="N18" i="2" a="1"/>
  <c r="O21" i="2" a="1"/>
  <c r="M23" i="2" a="1"/>
  <c r="P24" i="2" a="1"/>
  <c r="N26" i="2" a="1"/>
  <c r="O29" i="2" a="1"/>
  <c r="O33" i="2" a="1"/>
  <c r="M35" i="2" a="1"/>
  <c r="P9" i="2" a="1"/>
  <c r="N15" i="2" a="1"/>
  <c r="O18" i="2" a="1"/>
  <c r="M20" i="2" a="1"/>
  <c r="P21" i="2" a="1"/>
  <c r="N23" i="2" a="1"/>
  <c r="O26" i="2" a="1"/>
  <c r="M28" i="2" a="1"/>
  <c r="P29" i="2" a="1"/>
  <c r="P5" i="2" a="1"/>
  <c r="O6" i="2" a="1"/>
  <c r="N7" i="2" a="1"/>
  <c r="M8" i="2" a="1"/>
  <c r="O10" i="2" a="1"/>
  <c r="N11" i="2" a="1"/>
  <c r="M12" i="2" a="1"/>
  <c r="P13" i="2" a="1"/>
  <c r="O14" i="2" a="1"/>
  <c r="M16" i="2" a="1"/>
  <c r="P17" i="2" a="1"/>
  <c r="N19" i="2" a="1"/>
  <c r="O22" i="2" a="1"/>
  <c r="M24" i="2" a="1"/>
  <c r="P25" i="2" a="1"/>
  <c r="N27" i="2" a="1"/>
  <c r="O15" i="2" a="1"/>
  <c r="M17" i="2" a="1"/>
  <c r="P18" i="2" a="1"/>
  <c r="N20" i="2" a="1"/>
  <c r="O23" i="2" a="1"/>
  <c r="M25" i="2" a="1"/>
  <c r="P26" i="2" a="1"/>
  <c r="N28" i="2" a="1"/>
  <c r="P30" i="2" a="1"/>
  <c r="N32" i="2" a="1"/>
  <c r="M30" i="2" a="1"/>
  <c r="N33" i="2" a="1"/>
  <c r="O37" i="2" a="1"/>
  <c r="M39" i="2" a="1"/>
  <c r="P40" i="2" a="1"/>
  <c r="N42" i="2" a="1"/>
  <c r="O45" i="2" a="1"/>
  <c r="M47" i="2" a="1"/>
  <c r="P48" i="2" a="1"/>
  <c r="N50" i="2" a="1"/>
  <c r="O53" i="2" a="1"/>
  <c r="M55" i="2" a="1"/>
  <c r="P56" i="2" a="1"/>
  <c r="N58" i="2" a="1"/>
  <c r="O61" i="2" a="1"/>
  <c r="M63" i="2" a="1"/>
  <c r="P64" i="2" a="1"/>
  <c r="M60" i="2" a="1"/>
  <c r="N63" i="2" a="1"/>
  <c r="M61" i="2" a="1"/>
  <c r="O30" i="2" a="1"/>
  <c r="P33" i="2" a="1"/>
  <c r="M36" i="2" a="1"/>
  <c r="P37" i="2" a="1"/>
  <c r="N39" i="2" a="1"/>
  <c r="O42" i="2" a="1"/>
  <c r="M44" i="2" a="1"/>
  <c r="P45" i="2" a="1"/>
  <c r="N47" i="2" a="1"/>
  <c r="O50" i="2" a="1"/>
  <c r="M52" i="2" a="1"/>
  <c r="P53" i="2" a="1"/>
  <c r="N55" i="2" a="1"/>
  <c r="O58" i="2" a="1"/>
  <c r="P61" i="2" a="1"/>
  <c r="P62" i="2" a="1"/>
  <c r="M34" i="2" a="1"/>
  <c r="N36" i="2" a="1"/>
  <c r="O39" i="2" a="1"/>
  <c r="M41" i="2" a="1"/>
  <c r="P42" i="2" a="1"/>
  <c r="N44" i="2" a="1"/>
  <c r="O47" i="2" a="1"/>
  <c r="M49" i="2" a="1"/>
  <c r="P50" i="2" a="1"/>
  <c r="N52" i="2" a="1"/>
  <c r="O55" i="2" a="1"/>
  <c r="M57" i="2" a="1"/>
  <c r="P58" i="2" a="1"/>
  <c r="N60" i="2" a="1"/>
  <c r="N31" i="2" a="1"/>
  <c r="O34" i="2" a="1"/>
  <c r="O36" i="2" a="1"/>
  <c r="M38" i="2" a="1"/>
  <c r="P39" i="2" a="1"/>
  <c r="N41" i="2" a="1"/>
  <c r="O44" i="2" a="1"/>
  <c r="M46" i="2" a="1"/>
  <c r="P47" i="2" a="1"/>
  <c r="N49" i="2" a="1"/>
  <c r="O52" i="2" a="1"/>
  <c r="M54" i="2" a="1"/>
  <c r="P55" i="2" a="1"/>
  <c r="N57" i="2" a="1"/>
  <c r="O60" i="2" a="1"/>
  <c r="M62" i="2" a="1"/>
  <c r="P63" i="2" a="1"/>
  <c r="N59" i="2" a="1"/>
  <c r="O62" i="2" a="1"/>
  <c r="P31" i="2" a="1"/>
  <c r="P36" i="2" a="1"/>
  <c r="N38" i="2" a="1"/>
  <c r="O41" i="2" a="1"/>
  <c r="M43" i="2" a="1"/>
  <c r="P44" i="2" a="1"/>
  <c r="N46" i="2" a="1"/>
  <c r="O49" i="2" a="1"/>
  <c r="M51" i="2" a="1"/>
  <c r="P52" i="2" a="1"/>
  <c r="N54" i="2" a="1"/>
  <c r="O57" i="2" a="1"/>
  <c r="M59" i="2" a="1"/>
  <c r="P60" i="2" a="1"/>
  <c r="N62" i="2" a="1"/>
  <c r="M64" i="2" a="1"/>
  <c r="M32" i="2" a="1"/>
  <c r="N35" i="2" a="1"/>
  <c r="O38" i="2" a="1"/>
  <c r="M40" i="2" a="1"/>
  <c r="P41" i="2" a="1"/>
  <c r="N43" i="2" a="1"/>
  <c r="O46" i="2" a="1"/>
  <c r="M48" i="2" a="1"/>
  <c r="P49" i="2" a="1"/>
  <c r="N51" i="2" a="1"/>
  <c r="O54" i="2" a="1"/>
  <c r="M56" i="2" a="1"/>
  <c r="P57" i="2" a="1"/>
  <c r="N64" i="2" a="1"/>
  <c r="O32" i="2" a="1"/>
  <c r="O35" i="2" a="1"/>
  <c r="M37" i="2" a="1"/>
  <c r="P38" i="2" a="1"/>
  <c r="N40" i="2" a="1"/>
  <c r="O43" i="2" a="1"/>
  <c r="M45" i="2" a="1"/>
  <c r="P46" i="2" a="1"/>
  <c r="N48" i="2" a="1"/>
  <c r="O51" i="2" a="1"/>
  <c r="M53" i="2" a="1"/>
  <c r="P54" i="2" a="1"/>
  <c r="N56" i="2" a="1"/>
  <c r="O59" i="2" a="1"/>
  <c r="P35" i="2" a="1"/>
  <c r="N37" i="2" a="1"/>
  <c r="O40" i="2" a="1"/>
  <c r="M42" i="2" a="1"/>
  <c r="P43" i="2" a="1"/>
  <c r="N45" i="2" a="1"/>
  <c r="O48" i="2" a="1"/>
  <c r="M50" i="2" a="1"/>
  <c r="P51" i="2" a="1"/>
  <c r="N53" i="2" a="1"/>
  <c r="O56" i="2" a="1"/>
  <c r="M58" i="2" a="1"/>
  <c r="P59" i="2" a="1"/>
  <c r="N61" i="2" a="1"/>
  <c r="O64" i="2" a="1"/>
  <c r="O63" i="2" a="1"/>
  <c r="L6" i="2" a="1"/>
  <c r="L5" i="2" a="1"/>
  <c r="L10" i="2" a="1"/>
  <c r="L14" i="2" a="1"/>
  <c r="L18" i="2" a="1"/>
  <c r="L22" i="2" a="1"/>
  <c r="L26" i="2" a="1"/>
  <c r="L30" i="2" a="1"/>
  <c r="L34" i="2" a="1"/>
  <c r="L38" i="2" a="1"/>
  <c r="L42" i="2" a="1"/>
  <c r="L46" i="2" a="1"/>
  <c r="L50" i="2" a="1"/>
  <c r="L54" i="2" a="1"/>
  <c r="L58" i="2" a="1"/>
  <c r="L62" i="2" a="1"/>
  <c r="L59" i="2" a="1"/>
  <c r="L7" i="2" a="1"/>
  <c r="L11" i="2" a="1"/>
  <c r="L15" i="2" a="1"/>
  <c r="L19" i="2" a="1"/>
  <c r="L23" i="2" a="1"/>
  <c r="L27" i="2" a="1"/>
  <c r="L31" i="2" a="1"/>
  <c r="L35" i="2" a="1"/>
  <c r="L39" i="2" a="1"/>
  <c r="L43" i="2" a="1"/>
  <c r="L47" i="2" a="1"/>
  <c r="L51" i="2" a="1"/>
  <c r="L55" i="2" a="1"/>
  <c r="L63" i="2" a="1"/>
  <c r="L29" i="2" a="1"/>
  <c r="L57" i="2" a="1"/>
  <c r="L8" i="2" a="1"/>
  <c r="L12" i="2" a="1"/>
  <c r="L16" i="2" a="1"/>
  <c r="L20" i="2" a="1"/>
  <c r="L24" i="2" a="1"/>
  <c r="L28" i="2" a="1"/>
  <c r="L32" i="2" a="1"/>
  <c r="L36" i="2" a="1"/>
  <c r="L40" i="2" a="1"/>
  <c r="L44" i="2" a="1"/>
  <c r="L48" i="2" a="1"/>
  <c r="L52" i="2" a="1"/>
  <c r="L56" i="2" a="1"/>
  <c r="L60" i="2" a="1"/>
  <c r="L64" i="2" a="1"/>
  <c r="L41" i="2" a="1"/>
  <c r="L53" i="2" a="1"/>
  <c r="L9" i="2" a="1"/>
  <c r="L13" i="2" a="1"/>
  <c r="L17" i="2" a="1"/>
  <c r="L21" i="2" a="1"/>
  <c r="L25" i="2" a="1"/>
  <c r="L33" i="2" a="1"/>
  <c r="L37" i="2" a="1"/>
  <c r="L45" i="2" a="1"/>
  <c r="L49" i="2" a="1"/>
  <c r="L61" i="2" a="1"/>
  <c r="O63" i="2" l="1"/>
  <c r="O64" i="2"/>
  <c r="N61" i="2"/>
  <c r="P59" i="2"/>
  <c r="M58" i="2"/>
  <c r="O56" i="2"/>
  <c r="N53" i="2"/>
  <c r="P51" i="2"/>
  <c r="M50" i="2"/>
  <c r="O48" i="2"/>
  <c r="N45" i="2"/>
  <c r="P43" i="2"/>
  <c r="M42" i="2"/>
  <c r="O40" i="2"/>
  <c r="N37" i="2"/>
  <c r="P35" i="2"/>
  <c r="O59" i="2"/>
  <c r="N56" i="2"/>
  <c r="P54" i="2"/>
  <c r="M53" i="2"/>
  <c r="O51" i="2"/>
  <c r="N48" i="2"/>
  <c r="P46" i="2"/>
  <c r="M45" i="2"/>
  <c r="O43" i="2"/>
  <c r="N40" i="2"/>
  <c r="P38" i="2"/>
  <c r="M37" i="2"/>
  <c r="O35" i="2"/>
  <c r="O32" i="2"/>
  <c r="N64" i="2"/>
  <c r="P57" i="2"/>
  <c r="M56" i="2"/>
  <c r="O54" i="2"/>
  <c r="N51" i="2"/>
  <c r="P49" i="2"/>
  <c r="M48" i="2"/>
  <c r="O46" i="2"/>
  <c r="N43" i="2"/>
  <c r="P41" i="2"/>
  <c r="M40" i="2"/>
  <c r="O38" i="2"/>
  <c r="N35" i="2"/>
  <c r="M32" i="2"/>
  <c r="M64" i="2"/>
  <c r="N62" i="2"/>
  <c r="P60" i="2"/>
  <c r="M59" i="2"/>
  <c r="O57" i="2"/>
  <c r="N54" i="2"/>
  <c r="P52" i="2"/>
  <c r="M51" i="2"/>
  <c r="O49" i="2"/>
  <c r="N46" i="2"/>
  <c r="P44" i="2"/>
  <c r="M43" i="2"/>
  <c r="O41" i="2"/>
  <c r="N38" i="2"/>
  <c r="P36" i="2"/>
  <c r="P31" i="2"/>
  <c r="O62" i="2"/>
  <c r="N59" i="2"/>
  <c r="P63" i="2"/>
  <c r="M62" i="2"/>
  <c r="O60" i="2"/>
  <c r="N57" i="2"/>
  <c r="P55" i="2"/>
  <c r="M54" i="2"/>
  <c r="O52" i="2"/>
  <c r="N49" i="2"/>
  <c r="P47" i="2"/>
  <c r="M46" i="2"/>
  <c r="O44" i="2"/>
  <c r="N41" i="2"/>
  <c r="P39" i="2"/>
  <c r="M38" i="2"/>
  <c r="O36" i="2"/>
  <c r="O34" i="2"/>
  <c r="N31" i="2"/>
  <c r="N60" i="2"/>
  <c r="P58" i="2"/>
  <c r="M57" i="2"/>
  <c r="O55" i="2"/>
  <c r="N52" i="2"/>
  <c r="P50" i="2"/>
  <c r="M49" i="2"/>
  <c r="O47" i="2"/>
  <c r="N44" i="2"/>
  <c r="P42" i="2"/>
  <c r="M41" i="2"/>
  <c r="O39" i="2"/>
  <c r="N36" i="2"/>
  <c r="M34" i="2"/>
  <c r="P62" i="2"/>
  <c r="P61" i="2"/>
  <c r="O58" i="2"/>
  <c r="N55" i="2"/>
  <c r="P53" i="2"/>
  <c r="M52" i="2"/>
  <c r="O50" i="2"/>
  <c r="N47" i="2"/>
  <c r="P45" i="2"/>
  <c r="M44" i="2"/>
  <c r="O42" i="2"/>
  <c r="N39" i="2"/>
  <c r="P37" i="2"/>
  <c r="M36" i="2"/>
  <c r="P33" i="2"/>
  <c r="O30" i="2"/>
  <c r="M61" i="2"/>
  <c r="N63" i="2"/>
  <c r="M60" i="2"/>
  <c r="P64" i="2"/>
  <c r="M63" i="2"/>
  <c r="O61" i="2"/>
  <c r="N58" i="2"/>
  <c r="P56" i="2"/>
  <c r="M55" i="2"/>
  <c r="O53" i="2"/>
  <c r="N50" i="2"/>
  <c r="P48" i="2"/>
  <c r="M47" i="2"/>
  <c r="O45" i="2"/>
  <c r="N42" i="2"/>
  <c r="P40" i="2"/>
  <c r="M39" i="2"/>
  <c r="O37" i="2"/>
  <c r="N33" i="2"/>
  <c r="M30" i="2"/>
  <c r="N32" i="2"/>
  <c r="P30" i="2"/>
  <c r="N28" i="2"/>
  <c r="P26" i="2"/>
  <c r="M25" i="2"/>
  <c r="O23" i="2"/>
  <c r="N20" i="2"/>
  <c r="P18" i="2"/>
  <c r="M17" i="2"/>
  <c r="O15" i="2"/>
  <c r="N27" i="2"/>
  <c r="P25" i="2"/>
  <c r="M24" i="2"/>
  <c r="O22" i="2"/>
  <c r="N19" i="2"/>
  <c r="P17" i="2"/>
  <c r="M16" i="2"/>
  <c r="O14" i="2"/>
  <c r="P13" i="2"/>
  <c r="M12" i="2"/>
  <c r="N11" i="2"/>
  <c r="O10" i="2"/>
  <c r="M8" i="2"/>
  <c r="N7" i="2"/>
  <c r="O6" i="2"/>
  <c r="P5" i="2"/>
  <c r="P29" i="2"/>
  <c r="M28" i="2"/>
  <c r="O26" i="2"/>
  <c r="N23" i="2"/>
  <c r="P21" i="2"/>
  <c r="M20" i="2"/>
  <c r="O18" i="2"/>
  <c r="N15" i="2"/>
  <c r="P9" i="2"/>
  <c r="M35" i="2"/>
  <c r="O33" i="2"/>
  <c r="O29" i="2"/>
  <c r="N26" i="2"/>
  <c r="P24" i="2"/>
  <c r="M23" i="2"/>
  <c r="O21" i="2"/>
  <c r="N18" i="2"/>
  <c r="P16" i="2"/>
  <c r="M15" i="2"/>
  <c r="O13" i="2"/>
  <c r="P12" i="2"/>
  <c r="M11" i="2"/>
  <c r="N10" i="2"/>
  <c r="P8" i="2"/>
  <c r="M7" i="2"/>
  <c r="N6" i="2"/>
  <c r="O5" i="2"/>
  <c r="N34" i="2"/>
  <c r="P32" i="2"/>
  <c r="M31" i="2"/>
  <c r="N30" i="2"/>
  <c r="P28" i="2"/>
  <c r="M27" i="2"/>
  <c r="O25" i="2"/>
  <c r="N22" i="2"/>
  <c r="P20" i="2"/>
  <c r="M19" i="2"/>
  <c r="O17" i="2"/>
  <c r="N14" i="2"/>
  <c r="O9" i="2"/>
  <c r="O28" i="2"/>
  <c r="N25" i="2"/>
  <c r="P23" i="2"/>
  <c r="M22" i="2"/>
  <c r="O20" i="2"/>
  <c r="N17" i="2"/>
  <c r="P15" i="2"/>
  <c r="M14" i="2"/>
  <c r="N13" i="2"/>
  <c r="O12" i="2"/>
  <c r="P11" i="2"/>
  <c r="M10" i="2"/>
  <c r="O8" i="2"/>
  <c r="P7" i="2"/>
  <c r="M6" i="2"/>
  <c r="N5" i="2"/>
  <c r="N29" i="2"/>
  <c r="P27" i="2"/>
  <c r="M26" i="2"/>
  <c r="O24" i="2"/>
  <c r="N21" i="2"/>
  <c r="P19" i="2"/>
  <c r="M18" i="2"/>
  <c r="O16" i="2"/>
  <c r="N9" i="2"/>
  <c r="P34" i="2"/>
  <c r="M33" i="2"/>
  <c r="O31" i="2"/>
  <c r="M29" i="2"/>
  <c r="O27" i="2"/>
  <c r="N24" i="2"/>
  <c r="P22" i="2"/>
  <c r="M21" i="2"/>
  <c r="O19" i="2"/>
  <c r="N16" i="2"/>
  <c r="P14" i="2"/>
  <c r="M13" i="2"/>
  <c r="N12" i="2"/>
  <c r="O11" i="2"/>
  <c r="P10" i="2"/>
  <c r="M9" i="2"/>
  <c r="N8" i="2"/>
  <c r="O7" i="2"/>
  <c r="P6" i="2"/>
  <c r="M5" i="2"/>
  <c r="L6" i="2"/>
  <c r="L5" i="2"/>
  <c r="L61" i="2"/>
  <c r="L49" i="2"/>
  <c r="L45" i="2"/>
  <c r="L37" i="2"/>
  <c r="L33" i="2"/>
  <c r="L25" i="2"/>
  <c r="L21" i="2"/>
  <c r="L17" i="2"/>
  <c r="L13" i="2"/>
  <c r="L9" i="2"/>
  <c r="L53" i="2"/>
  <c r="L41" i="2"/>
  <c r="L64" i="2"/>
  <c r="L60" i="2"/>
  <c r="L56" i="2"/>
  <c r="L52" i="2"/>
  <c r="L48" i="2"/>
  <c r="L44" i="2"/>
  <c r="L40" i="2"/>
  <c r="L36" i="2"/>
  <c r="L32" i="2"/>
  <c r="L28" i="2"/>
  <c r="L24" i="2"/>
  <c r="L20" i="2"/>
  <c r="L16" i="2"/>
  <c r="L12" i="2"/>
  <c r="L8" i="2"/>
  <c r="L57" i="2"/>
  <c r="L29" i="2"/>
  <c r="L63" i="2"/>
  <c r="L55" i="2"/>
  <c r="L51" i="2"/>
  <c r="L47" i="2"/>
  <c r="L43" i="2"/>
  <c r="L39" i="2"/>
  <c r="L35" i="2"/>
  <c r="L31" i="2"/>
  <c r="L27" i="2"/>
  <c r="L23" i="2"/>
  <c r="L19" i="2"/>
  <c r="L15" i="2"/>
  <c r="L11" i="2"/>
  <c r="L7" i="2"/>
  <c r="L59" i="2"/>
  <c r="L62" i="2"/>
  <c r="L58" i="2"/>
  <c r="L54" i="2"/>
  <c r="L50" i="2"/>
  <c r="L46" i="2"/>
  <c r="L42" i="2"/>
  <c r="L38" i="2"/>
  <c r="L34" i="2"/>
  <c r="L30" i="2"/>
  <c r="L26" i="2"/>
  <c r="L22" i="2"/>
  <c r="L18" i="2"/>
  <c r="L14" i="2"/>
  <c r="L10" i="2"/>
  <c r="V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B3" i="3"/>
  <c r="C3" i="3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D60" i="3" l="1"/>
  <c r="D56" i="3"/>
  <c r="D52" i="3"/>
  <c r="D48" i="3"/>
  <c r="D44" i="3"/>
  <c r="D40" i="3"/>
  <c r="D36" i="3"/>
  <c r="D32" i="3"/>
  <c r="D28" i="3"/>
  <c r="D24" i="3"/>
  <c r="D20" i="3"/>
  <c r="D16" i="3"/>
  <c r="D12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5" i="3"/>
  <c r="D59" i="3"/>
  <c r="D55" i="3"/>
  <c r="D51" i="3"/>
  <c r="D43" i="3"/>
  <c r="D39" i="3"/>
  <c r="D35" i="3"/>
  <c r="D31" i="3"/>
  <c r="D27" i="3"/>
  <c r="D23" i="3"/>
  <c r="D19" i="3"/>
  <c r="D15" i="3"/>
  <c r="D11" i="3"/>
  <c r="D7" i="3"/>
  <c r="D3" i="3"/>
  <c r="D47" i="3"/>
  <c r="D62" i="3"/>
  <c r="D58" i="3"/>
  <c r="D54" i="3"/>
  <c r="D50" i="3"/>
  <c r="D46" i="3"/>
  <c r="D42" i="3"/>
  <c r="D38" i="3"/>
  <c r="D34" i="3"/>
  <c r="D30" i="3"/>
  <c r="D26" i="3"/>
  <c r="D22" i="3"/>
  <c r="D18" i="3"/>
  <c r="D10" i="3"/>
  <c r="D14" i="3"/>
  <c r="D6" i="3"/>
  <c r="D8" i="3"/>
  <c r="D4" i="3"/>
  <c r="G41" i="3" l="1"/>
  <c r="G32" i="3"/>
  <c r="G40" i="3"/>
  <c r="G8" i="3"/>
  <c r="G33" i="3"/>
  <c r="G24" i="3"/>
  <c r="G16" i="3"/>
  <c r="F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F62" i="3"/>
  <c r="F61" i="3"/>
  <c r="F60" i="3"/>
  <c r="F59" i="3"/>
  <c r="F58" i="3"/>
  <c r="F57" i="3"/>
  <c r="G56" i="3"/>
  <c r="F55" i="3"/>
  <c r="F54" i="3"/>
  <c r="F53" i="3"/>
  <c r="F52" i="3"/>
  <c r="F51" i="3"/>
  <c r="F50" i="3"/>
  <c r="G49" i="3"/>
  <c r="G48" i="3"/>
  <c r="F47" i="3"/>
  <c r="F46" i="3"/>
  <c r="F45" i="3"/>
  <c r="F44" i="3"/>
  <c r="F43" i="3"/>
  <c r="F42" i="3"/>
  <c r="F39" i="3"/>
  <c r="F38" i="3"/>
  <c r="F37" i="3"/>
  <c r="F36" i="3"/>
  <c r="F35" i="3"/>
  <c r="F34" i="3"/>
  <c r="F31" i="3"/>
  <c r="F30" i="3"/>
  <c r="F29" i="3"/>
  <c r="F28" i="3"/>
  <c r="F27" i="3"/>
  <c r="F26" i="3"/>
  <c r="G25" i="3"/>
  <c r="F23" i="3"/>
  <c r="F22" i="3"/>
  <c r="F21" i="3"/>
  <c r="F20" i="3"/>
  <c r="F19" i="3"/>
  <c r="F18" i="3"/>
  <c r="F17" i="3"/>
  <c r="F15" i="3"/>
  <c r="F14" i="3"/>
  <c r="F13" i="3"/>
  <c r="F12" i="3"/>
  <c r="F11" i="3"/>
  <c r="F10" i="3"/>
  <c r="F9" i="3"/>
  <c r="F7" i="3"/>
  <c r="F6" i="3"/>
  <c r="F5" i="3"/>
  <c r="F4" i="3"/>
  <c r="G3" i="3" l="1"/>
  <c r="G5" i="3"/>
  <c r="G12" i="3"/>
  <c r="G4" i="3"/>
  <c r="G7" i="3"/>
  <c r="G6" i="3"/>
  <c r="G21" i="3"/>
  <c r="G53" i="3"/>
  <c r="G26" i="3"/>
  <c r="G31" i="3"/>
  <c r="G58" i="3"/>
  <c r="G61" i="3"/>
  <c r="G42" i="3"/>
  <c r="G47" i="3"/>
  <c r="G10" i="3"/>
  <c r="G37" i="3"/>
  <c r="G43" i="3"/>
  <c r="G11" i="3"/>
  <c r="G27" i="3"/>
  <c r="G51" i="3"/>
  <c r="G19" i="3"/>
  <c r="G35" i="3"/>
  <c r="G29" i="3"/>
  <c r="G23" i="3"/>
  <c r="G39" i="3"/>
  <c r="G55" i="3"/>
  <c r="G18" i="3"/>
  <c r="G34" i="3"/>
  <c r="G45" i="3"/>
  <c r="G13" i="3"/>
  <c r="G60" i="3"/>
  <c r="G50" i="3"/>
  <c r="G15" i="3"/>
  <c r="F8" i="3"/>
  <c r="F16" i="3"/>
  <c r="F24" i="3"/>
  <c r="F32" i="3"/>
  <c r="F40" i="3"/>
  <c r="F48" i="3"/>
  <c r="F56" i="3"/>
  <c r="G14" i="3"/>
  <c r="G22" i="3"/>
  <c r="G30" i="3"/>
  <c r="G38" i="3"/>
  <c r="G46" i="3"/>
  <c r="G54" i="3"/>
  <c r="G62" i="3"/>
  <c r="F49" i="3"/>
  <c r="G17" i="3"/>
  <c r="F25" i="3"/>
  <c r="F33" i="3"/>
  <c r="F41" i="3"/>
  <c r="G20" i="3"/>
  <c r="G28" i="3"/>
  <c r="G36" i="3"/>
  <c r="G44" i="3"/>
  <c r="G52" i="3"/>
  <c r="G59" i="3"/>
  <c r="G9" i="3"/>
  <c r="G5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<sst xmlns="http://schemas.openxmlformats.org/spreadsheetml/2006/main" count="98" uniqueCount="53">
  <si>
    <t>Criterio</t>
  </si>
  <si>
    <t>Instrucciones de uso</t>
  </si>
  <si>
    <t>Sobresaliente</t>
  </si>
  <si>
    <t>Puntos</t>
  </si>
  <si>
    <t>C1</t>
  </si>
  <si>
    <t>Criterio 1</t>
  </si>
  <si>
    <t>TE</t>
  </si>
  <si>
    <t>Tiempo de entrega</t>
  </si>
  <si>
    <t>Nombre</t>
  </si>
  <si>
    <t>Apellido(s)</t>
  </si>
  <si>
    <t># Grupo</t>
  </si>
  <si>
    <t>Dirección de correo</t>
  </si>
  <si>
    <t>Tarea:Producto Académico N°…</t>
  </si>
  <si>
    <t>Tarea:Producto Académico N°... (Retroalimentación)</t>
  </si>
  <si>
    <t>Asignar los puntajes de acuerdo a la rúbrica de evaluación</t>
  </si>
  <si>
    <t>Copiar la dirección de correo electrónico de los estudiantes</t>
  </si>
  <si>
    <t>Niveles</t>
  </si>
  <si>
    <t>#</t>
  </si>
  <si>
    <t>PA</t>
  </si>
  <si>
    <t>Probidad Académica</t>
  </si>
  <si>
    <t>Descuento</t>
  </si>
  <si>
    <t>Comentario adicional</t>
  </si>
  <si>
    <t>Se recomienda entregar el PA dentro de la fecha oficial y así evitar el descuento de dos puntos.</t>
  </si>
  <si>
    <t>Entregó el PA dentro del plazo establecido.</t>
  </si>
  <si>
    <t>Bueno</t>
  </si>
  <si>
    <t>Insuficiente</t>
  </si>
  <si>
    <t>1</t>
  </si>
  <si>
    <t>En proceso</t>
  </si>
  <si>
    <t>Total general</t>
  </si>
  <si>
    <t>Nombres y apellidos</t>
  </si>
  <si>
    <t>0 0</t>
  </si>
  <si>
    <t>Notas</t>
  </si>
  <si>
    <t xml:space="preserve">  FEEDBACK</t>
  </si>
  <si>
    <t>CALIFICAR</t>
  </si>
  <si>
    <t xml:space="preserve">  IMPORTAR NOTAS</t>
  </si>
  <si>
    <t>ANALÍTICA</t>
  </si>
  <si>
    <t>3</t>
  </si>
  <si>
    <t>2</t>
  </si>
  <si>
    <t>C2</t>
  </si>
  <si>
    <t>Criterio 2</t>
  </si>
  <si>
    <t>C3</t>
  </si>
  <si>
    <t>C4</t>
  </si>
  <si>
    <t>C5</t>
  </si>
  <si>
    <t>4</t>
  </si>
  <si>
    <t>0</t>
  </si>
  <si>
    <t>Criterio 3</t>
  </si>
  <si>
    <t>Criterio 4</t>
  </si>
  <si>
    <t>Criterio 5</t>
  </si>
  <si>
    <t>Consignar puntajes según rúbrica del PA, en orden descendente (de mayor a menor).</t>
  </si>
  <si>
    <t>Diseñar la retroalimentación según criterios y niveles, incluir los tres componentes de una retroalimentación efectiva (Feedup, feedback y feedforward).</t>
  </si>
  <si>
    <t>El trabajo presentado es original.</t>
  </si>
  <si>
    <t>Criterio:
Logro esperado (feedup):
Nivel logrado y puntaje:
Retroalimentación (feedback y feedforward):</t>
  </si>
  <si>
    <t>El trabajo presentado va en contra de la probidad académica, por lo que no se tomará en cuenta para su calificación. A continuación, se detalla las razones: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</si>
</sst>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1"/>
      <color theme="1"/>
      <name val="Arimo"/>
      <scheme val="minor"/>
    </font>
    <font>
      <b/>
      <sz val="14"/>
      <color theme="1"/>
      <name val="Calibri"/>
      <family val="2"/>
    </font>
    <font>
      <b/>
      <sz val="11"/>
      <color theme="1"/>
      <name val="Arimo"/>
    </font>
    <font>
      <sz val="11"/>
      <color theme="1"/>
      <name val="Arimo"/>
    </font>
    <font>
      <b/>
      <sz val="10"/>
      <color theme="1"/>
      <name val="Arimo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Arimo"/>
    </font>
    <font>
      <b/>
      <sz val="12"/>
      <color theme="1"/>
      <name val="Arial Unicode MS"/>
    </font>
    <font>
      <sz val="10"/>
      <color theme="1"/>
      <name val="Calibri"/>
      <family val="2"/>
    </font>
    <font>
      <b/>
      <sz val="14"/>
      <name val="Calibri"/>
      <family val="2"/>
    </font>
    <font>
      <b/>
      <sz val="11"/>
      <name val="Arimo"/>
    </font>
    <font>
      <sz val="8"/>
      <name val="Arimo"/>
      <scheme val="minor"/>
    </font>
    <font>
      <b/>
      <sz val="14"/>
      <name val="Arimo"/>
      <scheme val="minor"/>
    </font>
    <font>
      <b/>
      <sz val="9"/>
      <name val="Arimo"/>
      <scheme val="minor"/>
    </font>
    <font>
      <b/>
      <sz val="12"/>
      <name val="Calibri"/>
      <family val="2"/>
    </font>
    <font>
      <b/>
      <sz val="22"/>
      <color theme="0"/>
      <name val="Arimo"/>
      <scheme val="minor"/>
    </font>
    <font>
      <sz val="11"/>
      <color rgb="FFE9950C"/>
      <name val="Ubuntu Mono"/>
      <family val="3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C000"/>
        <bgColor rgb="FFFFC000"/>
      </patternFill>
    </fill>
    <fill>
      <patternFill patternType="solid">
        <fgColor rgb="FFFFE598"/>
        <bgColor rgb="FFFFE598"/>
      </patternFill>
    </fill>
    <fill>
      <patternFill patternType="solid">
        <fgColor rgb="FFE2EFD9"/>
        <bgColor rgb="FFE2EFD9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7" tint="0.79998168889431442"/>
        <bgColor rgb="FFFFE598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Protection="1">
      <protection locked="0"/>
    </xf>
    <xf numFmtId="0" fontId="3" fillId="4" borderId="10" xfId="0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11" fillId="7" borderId="13" xfId="0" applyFont="1" applyFill="1" applyBorder="1" applyAlignment="1" applyProtection="1">
      <alignment horizontal="center" vertical="center" wrapText="1"/>
      <protection locked="0"/>
    </xf>
    <xf numFmtId="0" fontId="11" fillId="7" borderId="17" xfId="0" applyFont="1" applyFill="1" applyBorder="1" applyAlignment="1" applyProtection="1">
      <alignment horizontal="center" vertical="center" wrapText="1"/>
      <protection locked="0"/>
    </xf>
    <xf numFmtId="0" fontId="8" fillId="0" borderId="20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Protection="1">
      <protection locked="0"/>
    </xf>
    <xf numFmtId="0" fontId="3" fillId="7" borderId="20" xfId="0" applyFont="1" applyFill="1" applyBorder="1" applyProtection="1">
      <protection locked="0"/>
    </xf>
    <xf numFmtId="0" fontId="3" fillId="7" borderId="7" xfId="0" applyFont="1" applyFill="1" applyBorder="1" applyProtection="1">
      <protection locked="0"/>
    </xf>
    <xf numFmtId="0" fontId="3" fillId="7" borderId="11" xfId="0" applyFont="1" applyFill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5" borderId="5" xfId="0" applyFont="1" applyFill="1" applyBorder="1" applyProtection="1">
      <protection locked="0"/>
    </xf>
    <xf numFmtId="0" fontId="3" fillId="7" borderId="5" xfId="0" applyFont="1" applyFill="1" applyBorder="1" applyProtection="1">
      <protection locked="0"/>
    </xf>
    <xf numFmtId="0" fontId="3" fillId="7" borderId="13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0" borderId="6" xfId="0" applyFont="1" applyBorder="1" applyProtection="1">
      <protection locked="0"/>
    </xf>
    <xf numFmtId="0" fontId="3" fillId="5" borderId="8" xfId="0" applyFont="1" applyFill="1" applyBorder="1" applyProtection="1">
      <protection locked="0"/>
    </xf>
    <xf numFmtId="0" fontId="11" fillId="7" borderId="22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3" fillId="0" borderId="3" xfId="0" applyFont="1" applyBorder="1"/>
    <xf numFmtId="0" fontId="0" fillId="0" borderId="3" xfId="0" applyBorder="1"/>
    <xf numFmtId="0" fontId="3" fillId="0" borderId="9" xfId="0" applyFont="1" applyBorder="1"/>
    <xf numFmtId="0" fontId="0" fillId="0" borderId="9" xfId="0" applyBorder="1"/>
    <xf numFmtId="0" fontId="11" fillId="5" borderId="23" xfId="0" applyFont="1" applyFill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Protection="1">
      <protection hidden="1"/>
    </xf>
    <xf numFmtId="0" fontId="3" fillId="0" borderId="0" xfId="0" applyFont="1" applyProtection="1">
      <protection hidden="1"/>
    </xf>
    <xf numFmtId="0" fontId="3" fillId="8" borderId="12" xfId="0" applyFont="1" applyFill="1" applyBorder="1" applyProtection="1">
      <protection locked="0"/>
    </xf>
    <xf numFmtId="0" fontId="3" fillId="8" borderId="4" xfId="0" applyFont="1" applyFill="1" applyBorder="1" applyProtection="1">
      <protection locked="0"/>
    </xf>
    <xf numFmtId="0" fontId="3" fillId="8" borderId="1" xfId="0" applyFont="1" applyFill="1" applyBorder="1" applyProtection="1">
      <protection locked="0"/>
    </xf>
    <xf numFmtId="0" fontId="3" fillId="8" borderId="2" xfId="0" applyFont="1" applyFill="1" applyBorder="1" applyProtection="1">
      <protection locked="0"/>
    </xf>
    <xf numFmtId="0" fontId="0" fillId="0" borderId="18" xfId="0" applyBorder="1"/>
    <xf numFmtId="0" fontId="0" fillId="0" borderId="14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22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0" fillId="0" borderId="16" xfId="0" applyBorder="1"/>
    <xf numFmtId="0" fontId="0" fillId="0" borderId="13" xfId="0" applyBorder="1"/>
    <xf numFmtId="164" fontId="3" fillId="0" borderId="13" xfId="0" applyNumberFormat="1" applyFont="1" applyBorder="1" applyAlignment="1">
      <alignment horizontal="center"/>
    </xf>
    <xf numFmtId="0" fontId="3" fillId="0" borderId="17" xfId="0" applyFont="1" applyBorder="1"/>
    <xf numFmtId="164" fontId="3" fillId="0" borderId="14" xfId="0" applyNumberFormat="1" applyFont="1" applyBorder="1" applyAlignment="1">
      <alignment horizontal="center"/>
    </xf>
    <xf numFmtId="0" fontId="3" fillId="0" borderId="19" xfId="0" applyFont="1" applyBorder="1"/>
    <xf numFmtId="2" fontId="0" fillId="0" borderId="0" xfId="0" applyNumberFormat="1"/>
    <xf numFmtId="0" fontId="2" fillId="2" borderId="16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15" fillId="3" borderId="19" xfId="0" applyFont="1" applyFill="1" applyBorder="1" applyAlignment="1" applyProtection="1">
      <alignment vertical="center" wrapText="1"/>
      <protection locked="0"/>
    </xf>
    <xf numFmtId="0" fontId="10" fillId="3" borderId="19" xfId="0" applyFont="1" applyFill="1" applyBorder="1" applyAlignment="1" applyProtection="1">
      <alignment horizontal="center" vertical="center" wrapText="1"/>
      <protection locked="0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9" fillId="2" borderId="19" xfId="0" applyFont="1" applyFill="1" applyBorder="1" applyAlignment="1" applyProtection="1">
      <alignment vertical="center" wrapText="1"/>
      <protection locked="0"/>
    </xf>
    <xf numFmtId="0" fontId="6" fillId="7" borderId="19" xfId="0" applyFont="1" applyFill="1" applyBorder="1" applyAlignment="1" applyProtection="1">
      <alignment horizontal="left" vertical="top" wrapText="1"/>
      <protection locked="0"/>
    </xf>
    <xf numFmtId="0" fontId="6" fillId="7" borderId="19" xfId="0" applyFont="1" applyFill="1" applyBorder="1" applyAlignment="1" applyProtection="1">
      <alignment vertical="top" wrapText="1"/>
      <protection locked="0"/>
    </xf>
    <xf numFmtId="0" fontId="15" fillId="3" borderId="13" xfId="0" applyFont="1" applyFill="1" applyBorder="1" applyAlignment="1" applyProtection="1">
      <alignment vertical="center" wrapText="1"/>
      <protection locked="0"/>
    </xf>
    <xf numFmtId="0" fontId="10" fillId="3" borderId="13" xfId="0" applyFont="1" applyFill="1" applyBorder="1" applyAlignment="1" applyProtection="1">
      <alignment horizontal="center" vertical="center" wrapText="1"/>
      <protection locked="0"/>
    </xf>
    <xf numFmtId="1" fontId="10" fillId="3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9" fillId="2" borderId="14" xfId="0" applyFont="1" applyFill="1" applyBorder="1" applyAlignment="1" applyProtection="1">
      <alignment vertical="center" wrapText="1"/>
      <protection locked="0"/>
    </xf>
    <xf numFmtId="0" fontId="6" fillId="7" borderId="14" xfId="0" applyFont="1" applyFill="1" applyBorder="1" applyAlignment="1" applyProtection="1">
      <alignment horizontal="left" vertical="top" wrapText="1"/>
      <protection locked="0"/>
    </xf>
    <xf numFmtId="0" fontId="6" fillId="7" borderId="19" xfId="0" applyFont="1" applyFill="1" applyBorder="1" applyAlignment="1" applyProtection="1">
      <alignment horizontal="left" vertical="center" wrapText="1"/>
      <protection locked="0"/>
    </xf>
    <xf numFmtId="0" fontId="3" fillId="3" borderId="8" xfId="0" applyFont="1" applyFill="1" applyBorder="1"/>
    <xf numFmtId="0" fontId="3" fillId="4" borderId="13" xfId="0" applyFont="1" applyFill="1" applyBorder="1"/>
    <xf numFmtId="0" fontId="6" fillId="7" borderId="19" xfId="0" applyFont="1" applyFill="1" applyBorder="1" applyAlignment="1">
      <alignment vertical="center" wrapText="1"/>
    </xf>
    <xf numFmtId="0" fontId="1" fillId="3" borderId="19" xfId="0" applyFont="1" applyFill="1" applyBorder="1" applyAlignment="1">
      <alignment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vertical="center" wrapText="1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1" fontId="0" fillId="0" borderId="21" xfId="0" applyNumberFormat="1" applyBorder="1" applyAlignment="1" applyProtection="1">
      <alignment horizontal="center"/>
      <protection hidden="1"/>
    </xf>
    <xf numFmtId="0" fontId="3" fillId="7" borderId="14" xfId="0" applyFont="1" applyFill="1" applyBorder="1" applyProtection="1">
      <protection locked="0"/>
    </xf>
    <xf numFmtId="0" fontId="11" fillId="7" borderId="20" xfId="0" applyFont="1" applyFill="1" applyBorder="1" applyAlignment="1" applyProtection="1">
      <alignment horizontal="center" vertical="center" wrapText="1"/>
      <protection locked="0"/>
    </xf>
    <xf numFmtId="0" fontId="3" fillId="7" borderId="16" xfId="0" applyFont="1" applyFill="1" applyBorder="1"/>
    <xf numFmtId="0" fontId="17" fillId="0" borderId="0" xfId="0" applyFont="1"/>
    <xf numFmtId="0" fontId="16" fillId="6" borderId="0" xfId="0" applyFont="1" applyFill="1" applyAlignment="1">
      <alignment vertical="center"/>
    </xf>
    <xf numFmtId="0" fontId="11" fillId="2" borderId="26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left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1" fillId="3" borderId="25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6" fillId="6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4" fillId="8" borderId="13" xfId="0" applyFont="1" applyFill="1" applyBorder="1" applyAlignment="1">
      <alignment horizontal="left" vertical="center"/>
    </xf>
    <xf numFmtId="0" fontId="14" fillId="8" borderId="17" xfId="0" applyFont="1" applyFill="1" applyBorder="1" applyAlignment="1">
      <alignment horizontal="left" vertical="center"/>
    </xf>
    <xf numFmtId="0" fontId="14" fillId="8" borderId="21" xfId="0" applyFont="1" applyFill="1" applyBorder="1" applyAlignment="1">
      <alignment horizontal="left" vertical="center"/>
    </xf>
    <xf numFmtId="0" fontId="14" fillId="8" borderId="16" xfId="0" applyFont="1" applyFill="1" applyBorder="1" applyAlignment="1">
      <alignment horizontal="left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64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theme="0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E2EFD9"/>
          <bgColor rgb="FFE2EFD9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E2EFD9"/>
          <bgColor rgb="FFE2EFD9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E2EFD9"/>
          <bgColor rgb="FFE2EFD9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7" tint="0.79998168889431442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1"/>
    </dxf>
    <dxf>
      <border outline="0">
        <top style="thin">
          <color rgb="FF000000"/>
        </top>
      </border>
    </dxf>
    <dxf>
      <border diagonalUp="0" diagonalDown="0">
        <left/>
        <right style="thin">
          <color rgb="FF000000"/>
        </right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general" vertical="bottom" textRotation="0" wrapText="1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" formatCode="0"/>
      <alignment horizontal="center" vertical="bottom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minor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/>
        <top style="thin">
          <color rgb="FF000000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263C18"/>
      <color rgb="FF203966"/>
      <color rgb="FF27457B"/>
      <color rgb="FF2D5C8F"/>
      <color rgb="FF3974B5"/>
      <color rgb="FFFFBC15"/>
      <color rgb="FFC28B02"/>
      <color rgb="FFFDB8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Histograma de notas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 b="1"/>
          </a:pPr>
          <a:r>
            <a:rPr lang="es-MX" sz="1800" b="1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Arimo"/>
            </a:rPr>
            <a:t>Histograma de notas</a:t>
          </a:r>
        </a:p>
      </cx:txPr>
    </cx:title>
    <cx:plotArea>
      <cx:plotAreaRegion>
        <cx:series layoutId="clusteredColumn" uniqueId="{84048078-9F0E-4397-B816-6788932B8AEC}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50" b="1"/>
                </a:pPr>
                <a:endParaRPr lang="es-MX" sz="1050" b="1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endParaRPr>
              </a:p>
            </cx:txPr>
            <cx:visibility seriesName="0" categoryName="0" value="1"/>
          </cx:dataLabels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tle>
          <cx:tx>
            <cx:txData>
              <cx:v>Rango de notas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s-MX" sz="1200" b="0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rPr>
                <a:t>Rango de notas</a:t>
              </a:r>
            </a:p>
          </cx:txPr>
        </cx:title>
        <cx:tickLabels/>
      </cx:axis>
      <cx:axis id="1">
        <cx:valScaling/>
        <cx:title>
          <cx:tx>
            <cx:txData>
              <cx:v>Cantidad de estudiantes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s-MX" sz="1200" b="0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rPr>
                <a:t>Cantidad de estudiantes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280542</xdr:colOff>
      <xdr:row>9</xdr:row>
      <xdr:rowOff>152400</xdr:rowOff>
    </xdr:from>
    <xdr:to>
      <xdr:col>2</xdr:col>
      <xdr:colOff>448661</xdr:colOff>
      <xdr:row>12</xdr:row>
      <xdr:rowOff>115381</xdr:rowOff>
    </xdr:to>
    <xdr:sp macro="[0]!Quitar_Criter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56842" y="3276600"/>
          <a:ext cx="1044419" cy="505906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Quitar criterio</a:t>
          </a:r>
        </a:p>
        <a:p>
          <a:pPr marL="0" indent="0" algn="ctr"/>
          <a:r>
            <a:rPr lang="es-PE" sz="14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</a:t>
          </a:r>
          <a:endParaRPr lang="es-PE" sz="14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769502</xdr:colOff>
      <xdr:row>9</xdr:row>
      <xdr:rowOff>133350</xdr:rowOff>
    </xdr:from>
    <xdr:to>
      <xdr:col>5</xdr:col>
      <xdr:colOff>1914046</xdr:colOff>
      <xdr:row>12</xdr:row>
      <xdr:rowOff>116451</xdr:rowOff>
    </xdr:to>
    <xdr:sp macro="[0]!Agregar_nivel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294252" y="3257550"/>
          <a:ext cx="1144544" cy="526026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Agregar nivel</a:t>
          </a:r>
        </a:p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&gt;&gt;</a:t>
          </a:r>
        </a:p>
      </xdr:txBody>
    </xdr:sp>
    <xdr:clientData/>
  </xdr:twoCellAnchor>
  <xdr:twoCellAnchor editAs="oneCell">
    <xdr:from>
      <xdr:col>4</xdr:col>
      <xdr:colOff>1504318</xdr:colOff>
      <xdr:row>9</xdr:row>
      <xdr:rowOff>142875</xdr:rowOff>
    </xdr:from>
    <xdr:to>
      <xdr:col>5</xdr:col>
      <xdr:colOff>705529</xdr:colOff>
      <xdr:row>12</xdr:row>
      <xdr:rowOff>119562</xdr:rowOff>
    </xdr:to>
    <xdr:sp macro="[0]!EliminarNivelEnTablaFeedback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/>
        </xdr:cNvSpPr>
      </xdr:nvSpPr>
      <xdr:spPr>
        <a:xfrm>
          <a:off x="7105018" y="3267075"/>
          <a:ext cx="1125261" cy="519612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Quitar nivel</a:t>
          </a:r>
        </a:p>
        <a:p>
          <a:pPr marL="0" indent="0" algn="ctr"/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&lt;&lt;</a:t>
          </a:r>
          <a:endParaRPr lang="es-PE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9</xdr:row>
      <xdr:rowOff>161925</xdr:rowOff>
    </xdr:from>
    <xdr:to>
      <xdr:col>1</xdr:col>
      <xdr:colOff>216196</xdr:colOff>
      <xdr:row>12</xdr:row>
      <xdr:rowOff>117693</xdr:rowOff>
    </xdr:to>
    <xdr:sp macro="[0]!Agregar_Criterio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3219450"/>
          <a:ext cx="1092496" cy="498693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Agregar criterio </a:t>
          </a:r>
          <a:r>
            <a:rPr lang="es-PE" sz="1200" b="1">
              <a:solidFill>
                <a:schemeClr val="tx1"/>
              </a:solidFill>
              <a:latin typeface="+mn-lt"/>
              <a:ea typeface="+mn-ea"/>
              <a:cs typeface="+mn-cs"/>
            </a:rPr>
            <a:t>+</a:t>
          </a:r>
        </a:p>
      </xdr:txBody>
    </xdr:sp>
    <xdr:clientData/>
  </xdr:twoCellAnchor>
  <xdr:twoCellAnchor editAs="absolute">
    <xdr:from>
      <xdr:col>8</xdr:col>
      <xdr:colOff>930559</xdr:colOff>
      <xdr:row>0</xdr:row>
      <xdr:rowOff>0</xdr:rowOff>
    </xdr:from>
    <xdr:to>
      <xdr:col>8</xdr:col>
      <xdr:colOff>1327377</xdr:colOff>
      <xdr:row>1</xdr:row>
      <xdr:rowOff>3575</xdr:rowOff>
    </xdr:to>
    <xdr:pic macro="[0]!IrASiguienteHoja">
      <xdr:nvPicPr>
        <xdr:cNvPr id="11" name="Gráfico 10" descr="Chevron arrows con relleno sólido">
          <a:extLst>
            <a:ext uri="{FF2B5EF4-FFF2-40B4-BE49-F238E27FC236}">
              <a16:creationId xmlns:a16="http://schemas.microsoft.com/office/drawing/2014/main" id="{4295BDCD-82DB-6B0A-3741-0AA9922CA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30861" y="0"/>
          <a:ext cx="396818" cy="3437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762000</xdr:colOff>
      <xdr:row>0</xdr:row>
      <xdr:rowOff>9525</xdr:rowOff>
    </xdr:from>
    <xdr:to>
      <xdr:col>21</xdr:col>
      <xdr:colOff>1158818</xdr:colOff>
      <xdr:row>1</xdr:row>
      <xdr:rowOff>13100</xdr:rowOff>
    </xdr:to>
    <xdr:pic macro="[0]!IrASiguienteHoja">
      <xdr:nvPicPr>
        <xdr:cNvPr id="4" name="Gráfico 3" descr="Chevron arrows con relleno sólido">
          <a:extLst>
            <a:ext uri="{FF2B5EF4-FFF2-40B4-BE49-F238E27FC236}">
              <a16:creationId xmlns:a16="http://schemas.microsoft.com/office/drawing/2014/main" id="{F026354B-3F23-4723-9767-B67D96BB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01775" y="9525"/>
          <a:ext cx="396818" cy="346475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6397</xdr:rowOff>
    </xdr:to>
    <xdr:pic macro="[0]!IrAHojaAnterior">
      <xdr:nvPicPr>
        <xdr:cNvPr id="5" name="Gráfico 4" descr="Chevron arrows con relleno sólido">
          <a:extLst>
            <a:ext uri="{FF2B5EF4-FFF2-40B4-BE49-F238E27FC236}">
              <a16:creationId xmlns:a16="http://schemas.microsoft.com/office/drawing/2014/main" id="{EEEA18B7-DE78-4689-9CD9-81F88BB4A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247650" y="0"/>
          <a:ext cx="400050" cy="3492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47065</xdr:colOff>
      <xdr:row>0</xdr:row>
      <xdr:rowOff>85725</xdr:rowOff>
    </xdr:from>
    <xdr:to>
      <xdr:col>10</xdr:col>
      <xdr:colOff>265253</xdr:colOff>
      <xdr:row>1</xdr:row>
      <xdr:rowOff>209412</xdr:rowOff>
    </xdr:to>
    <xdr:sp macro="[0]!CopiarTablaConContenid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201150" y="85725"/>
          <a:ext cx="1124183" cy="466587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Copiar notas</a:t>
          </a:r>
        </a:p>
      </xdr:txBody>
    </xdr:sp>
    <xdr:clientData/>
  </xdr:twoCellAnchor>
  <xdr:twoCellAnchor editAs="absolute">
    <xdr:from>
      <xdr:col>6</xdr:col>
      <xdr:colOff>1571625</xdr:colOff>
      <xdr:row>0</xdr:row>
      <xdr:rowOff>9525</xdr:rowOff>
    </xdr:from>
    <xdr:to>
      <xdr:col>6</xdr:col>
      <xdr:colOff>1968443</xdr:colOff>
      <xdr:row>1</xdr:row>
      <xdr:rowOff>13100</xdr:rowOff>
    </xdr:to>
    <xdr:pic macro="[0]!IrASiguienteHoja">
      <xdr:nvPicPr>
        <xdr:cNvPr id="9" name="Gráfico 8" descr="Chevron arrows con relleno sólido">
          <a:extLst>
            <a:ext uri="{FF2B5EF4-FFF2-40B4-BE49-F238E27FC236}">
              <a16:creationId xmlns:a16="http://schemas.microsoft.com/office/drawing/2014/main" id="{EC13DE3C-817D-4C78-9720-71393C3B9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82025" y="9525"/>
          <a:ext cx="396818" cy="346475"/>
        </a:xfrm>
        <a:prstGeom prst="rect">
          <a:avLst/>
        </a:prstGeom>
      </xdr:spPr>
    </xdr:pic>
    <xdr:clientData/>
  </xdr:twoCellAnchor>
  <xdr:twoCellAnchor editAs="absolute">
    <xdr:from>
      <xdr:col>3</xdr:col>
      <xdr:colOff>161925</xdr:colOff>
      <xdr:row>0</xdr:row>
      <xdr:rowOff>0</xdr:rowOff>
    </xdr:from>
    <xdr:to>
      <xdr:col>3</xdr:col>
      <xdr:colOff>561975</xdr:colOff>
      <xdr:row>1</xdr:row>
      <xdr:rowOff>6397</xdr:rowOff>
    </xdr:to>
    <xdr:pic macro="[0]!IrAHojaAnterior">
      <xdr:nvPicPr>
        <xdr:cNvPr id="10" name="Gráfico 9" descr="Chevron arrows con relleno sólido">
          <a:extLst>
            <a:ext uri="{FF2B5EF4-FFF2-40B4-BE49-F238E27FC236}">
              <a16:creationId xmlns:a16="http://schemas.microsoft.com/office/drawing/2014/main" id="{E9201587-ED42-4CEE-B0DD-32EE736F6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466725" y="0"/>
          <a:ext cx="400050" cy="3492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</xdr:row>
      <xdr:rowOff>38100</xdr:rowOff>
    </xdr:from>
    <xdr:to>
      <xdr:col>5</xdr:col>
      <xdr:colOff>1743075</xdr:colOff>
      <xdr:row>21</xdr:row>
      <xdr:rowOff>37148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" y="600075"/>
              <a:ext cx="8281988" cy="3466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152400</xdr:colOff>
      <xdr:row>0</xdr:row>
      <xdr:rowOff>9525</xdr:rowOff>
    </xdr:from>
    <xdr:to>
      <xdr:col>0</xdr:col>
      <xdr:colOff>552450</xdr:colOff>
      <xdr:row>1</xdr:row>
      <xdr:rowOff>6397</xdr:rowOff>
    </xdr:to>
    <xdr:pic macro="[0]!IrAHojaAnterior">
      <xdr:nvPicPr>
        <xdr:cNvPr id="9" name="Gráfico 8" descr="Chevron arrows con relleno sólido">
          <a:extLst>
            <a:ext uri="{FF2B5EF4-FFF2-40B4-BE49-F238E27FC236}">
              <a16:creationId xmlns:a16="http://schemas.microsoft.com/office/drawing/2014/main" id="{34EC61A9-0CF9-4FB1-BE72-4DA962C5F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flipH="1">
          <a:off x="152400" y="9525"/>
          <a:ext cx="400050" cy="349297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190500</xdr:colOff>
      <xdr:row>21</xdr:row>
      <xdr:rowOff>123825</xdr:rowOff>
    </xdr:from>
    <xdr:to>
      <xdr:col>4</xdr:col>
      <xdr:colOff>1323088</xdr:colOff>
      <xdr:row>24</xdr:row>
      <xdr:rowOff>47487</xdr:rowOff>
    </xdr:to>
    <xdr:sp macro="[0]!Actualizar_Tabla_Dinámic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2206B0-F5C4-4DE4-953F-4B97B21B4C51}"/>
            </a:ext>
          </a:extLst>
        </xdr:cNvPr>
        <xdr:cNvSpPr/>
      </xdr:nvSpPr>
      <xdr:spPr>
        <a:xfrm>
          <a:off x="4895850" y="4152900"/>
          <a:ext cx="1132588" cy="466587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Actualizar tabla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146.767907060188" createdVersion="8" refreshedVersion="8" minRefreshableVersion="3" recordCount="60" xr:uid="{BC236C32-40BE-44AE-A384-7753DD7BC689}">
  <cacheSource type="worksheet">
    <worksheetSource name="Tabla12[[Nombres y apellidos]:[Tarea:Producto Académico N°... (Retroalimentación)]]"/>
  </cacheSource>
  <cacheFields count="4">
    <cacheField name="Nombres y apellidos" numFmtId="0">
      <sharedItems count="45">
        <s v="0 0"/>
        <s v="JHONY EDWIN CAHUAPAZA, VELARDE" u="1"/>
        <s v="JOSÉ ÁNGEL MENESES, JIMÉNEZ" u="1"/>
        <s v="ROLANDO LAZARO QUISPE, GARCIA" u="1"/>
        <s v="YURIKO LAUDA HUANCA, POBLETE" u="1"/>
        <s v="YESICA LIMA, HUILLCA" u="1"/>
        <s v="GUSTAVO OSCAR CUTIPA, PEREZ" u="1"/>
        <s v="MARCO ANTONIO ORDAYA, ASTUCURI" u="1"/>
        <s v="MIGUEL ANGEL ZAMBRANO, CCANCCE" u="1"/>
        <s v="SANDY ESTEFANI COILA, AQUISE" u="1"/>
        <s v="SALLY DAANNA RODRIGUEZ, CIPRIAN" u="1"/>
        <s v="TANIA RIMAC, CAQUI" u="1"/>
        <s v="RICHAR GARCIA, DIAZ" u="1"/>
        <s v="JULIO CESAR SUAREZ, BRIONES" u="1"/>
        <s v="ALEJANDRO ANTONIO SEGURA, ALFARO" u="1"/>
        <s v="MAEL EMILL GRANADOS, VILLEGAS" u="1"/>
        <s v="KETTY IVONNE ATOCHE, ATO" u="1"/>
        <s v="LUZ MARIBEL MENDOZA, PRADO" u="1"/>
        <s v="ALBERTO LUIS ZAPATA, YANA" u="1"/>
        <s v="MIRTHA NATALI MENDOZA, RODRÍGUEZ" u="1"/>
        <s v="HEULER RUIZ, GOYZUETA" u="1"/>
        <s v="CARLOS YUDIÑO QUISPE, QQUECAÑO" u="1"/>
        <s v="DIANA ELIZABETH REQUEJO, ESPINOZA" u="1"/>
        <s v="LUZ ANABEL RUIZ, ORTIZ" u="1"/>
        <s v="PAUL DANIEL MENDOZA, HUARAYCHIRI" u="1"/>
        <s v="LIZ SAORI RIVERA, PALOMINO" u="1"/>
        <s v="EDILFONSO CONDOR, MACHACUAY" u="1"/>
        <s v="RAUL WILLIAMS BERAUN, DIAZ" u="1"/>
        <s v="CARLOS EDUARDO VARAS, PEREZ" u="1"/>
        <s v="YURITZA JESENIA CERNA, MATIENZO" u="1"/>
        <s v="RONALD JOSÉ CHÁVEZ, RODRÍGUEZ" u="1"/>
        <s v="LUCIA MILAGROS NAKIALLA CACERES, DENEGRI" u="1"/>
        <s v="FARIDE CAROLINA CACERES, GARRIDO" u="1"/>
        <s v="FIDEL DAVID PACCO, COTACALLAPA" u="1"/>
        <s v="LUIS YONEL MONTENEGRO, INGA" u="1"/>
        <s v="JUAN CESAR CACERES, DEL AGUILA" u="1"/>
        <s v="IRMA HUANCACURI, QUISPE" u="1"/>
        <s v="CINTHIA YANA, CANSAYA" u="1"/>
        <s v="EDGAR ALFREDO GONZALES, HUISA" u="1"/>
        <s v="CLAUDIA MILAGROS CABREJO, CONDOR" u="1"/>
        <s v="ANDREA ELISA HUAMAN, HUAMAN" u="1"/>
        <s v="MILENA BALVIN, CASTILLO" u="1"/>
        <s v="ROCIO NATALY CAMACHO, HUAMAN" u="1"/>
        <s v="ELVIS VANDER VILLAR, ROJAS" u="1"/>
        <s v="CECILIA MEDINA, GARCIA" u="1"/>
      </sharedItems>
    </cacheField>
    <cacheField name="Dirección de correo" numFmtId="0">
      <sharedItems containsSemiMixedTypes="0" containsString="0" containsNumber="1" containsInteger="1" minValue="0" maxValue="0"/>
    </cacheField>
    <cacheField name="Tarea:Producto Académico N°…" numFmtId="164">
      <sharedItems containsSemiMixedTypes="0" containsString="0" containsNumber="1" containsInteger="1" minValue="0" maxValue="0"/>
    </cacheField>
    <cacheField name="Tarea:Producto Académico N°... (Retroalimentación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516AB-1ADE-423D-A093-D5B04E6BDA68}" name="TablaDinám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Nombres y apellidos">
  <location ref="B23:C25" firstHeaderRow="1" firstDataRow="1" firstDataCol="1"/>
  <pivotFields count="4">
    <pivotField axis="axisRow" showAll="0" sortType="ascending" defaultSubtotal="0">
      <items count="45">
        <item x="0"/>
        <item m="1" x="18"/>
        <item m="1" x="14"/>
        <item m="1" x="40"/>
        <item m="1" x="28"/>
        <item m="1" x="21"/>
        <item m="1" x="44"/>
        <item m="1" x="37"/>
        <item m="1" x="39"/>
        <item m="1" x="22"/>
        <item m="1" x="38"/>
        <item m="1" x="26"/>
        <item m="1" x="43"/>
        <item m="1" x="32"/>
        <item m="1" x="33"/>
        <item m="1" x="6"/>
        <item m="1" x="20"/>
        <item m="1" x="36"/>
        <item m="1" x="1"/>
        <item m="1" x="2"/>
        <item m="1" x="35"/>
        <item m="1" x="13"/>
        <item m="1" x="16"/>
        <item m="1" x="25"/>
        <item m="1" x="31"/>
        <item m="1" x="34"/>
        <item m="1" x="23"/>
        <item m="1" x="17"/>
        <item m="1" x="15"/>
        <item m="1" x="7"/>
        <item m="1" x="8"/>
        <item m="1" x="41"/>
        <item m="1" x="19"/>
        <item m="1" x="24"/>
        <item m="1" x="27"/>
        <item m="1" x="12"/>
        <item m="1" x="42"/>
        <item m="1" x="3"/>
        <item m="1" x="30"/>
        <item m="1" x="10"/>
        <item m="1" x="9"/>
        <item m="1" x="11"/>
        <item m="1" x="5"/>
        <item m="1" x="4"/>
        <item m="1" x="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Notas" fld="2" subtotal="average" baseField="0" baseItem="0" numFmtId="2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07028C5-1C94-4801-BF76-3FDED851586C}" name="Tabla2" displayName="Tabla2" ref="A6:D7" headerRowCount="0" totalsRowShown="0" headerRowDxfId="99" dataDxfId="98" tableBorderDxfId="97">
  <tableColumns count="4">
    <tableColumn id="1" xr3:uid="{D5FC4E97-E430-48AF-8C68-5D509B81FCF6}" name="#" headerRowDxfId="96" dataDxfId="95"/>
    <tableColumn id="2" xr3:uid="{F974EF56-BA3C-4510-A6BC-EAFCA2B7F3DD}" name="Niveles" headerRowDxfId="94" dataDxfId="93"/>
    <tableColumn id="3" xr3:uid="{7A8B02CF-9ABB-498A-8433-6A3E5C94B437}" name="Sin descuento" headerRowDxfId="92" dataDxfId="91"/>
    <tableColumn id="4" xr3:uid="{FE1B690D-12CB-4127-9D7A-42FA3D57B4BD}" name="Con descuento" headerRowDxfId="90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4284039-D804-44A3-AF0C-5FAA36F8F308}" name="Tabla3" displayName="Tabla3" ref="A8:D9" headerRowCount="0" totalsRowShown="0" headerRowDxfId="88" dataDxfId="86" headerRowBorderDxfId="87" tableBorderDxfId="85" totalsRowBorderDxfId="84">
  <tableColumns count="4">
    <tableColumn id="1" xr3:uid="{7E976E13-92EC-4BAF-9642-526F4A0CB2F6}" name="#" headerRowDxfId="83" dataDxfId="82"/>
    <tableColumn id="2" xr3:uid="{8A216F0E-A30F-485E-BE6F-26EA323B8E10}" name="Niveles" headerRowDxfId="81" dataDxfId="80"/>
    <tableColumn id="3" xr3:uid="{333AFF67-AADB-4730-A702-30ADEB945396}" name="Sin descuento" headerRowDxfId="79" dataDxfId="78"/>
    <tableColumn id="4" xr3:uid="{148EACC2-57D7-4C9C-90B2-3BAAF0BDA40B}" name="Con descuento" headerRowDxfId="77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72CF533-88C9-4246-BCB5-BDC5AC670973}" name="Tabla1" displayName="Tabla1" ref="A15:F24" headerRowCount="0" headerRowDxfId="75" tableBorderDxfId="74">
  <tableColumns count="6">
    <tableColumn id="1" xr3:uid="{F23EFE4C-520E-448B-A11F-2FF77DDC1580}" name="#" totalsRowLabel="Total" headerRowDxfId="73"/>
    <tableColumn id="2" xr3:uid="{F6709372-1C44-442D-BA4E-8F2E28CDD4EA}" name="Niveles" headerRowDxfId="72"/>
    <tableColumn id="3" xr3:uid="{1E6CDD4E-B5E7-4028-B03D-92FE350FF824}" name="Sobresaliente" headerRowDxfId="71"/>
    <tableColumn id="4" xr3:uid="{2C097BB1-10FB-4B98-B02D-BA418FA2D412}" name="Bueno" headerRowDxfId="70"/>
    <tableColumn id="5" xr3:uid="{F91C6731-87E9-41EE-BA0A-B693491F2261}" name="En proceso" headerRowDxfId="69"/>
    <tableColumn id="6" xr3:uid="{79A50A96-C8C6-4ED2-B137-8F0AA131E16B}" name="Insuficiente" totalsRowFunction="count" headerRow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81A0948-8B1D-431C-89EC-011E42DAEB2D}" name="Tabla5" displayName="Tabla5" ref="J4:K64" totalsRowShown="0" headerRowDxfId="67" dataDxfId="65" headerRowBorderDxfId="66" tableBorderDxfId="64" totalsRowBorderDxfId="63">
  <autoFilter ref="J4:K64" xr:uid="{B81A0948-8B1D-431C-89EC-011E42DAEB2D}">
    <filterColumn colId="0" hiddenButton="1"/>
    <filterColumn colId="1" hiddenButton="1"/>
  </autoFilter>
  <tableColumns count="2">
    <tableColumn id="1" xr3:uid="{CD6FDB4C-CA8C-4991-BF1B-DF5964A6E2CF}" name="TE" dataDxfId="62"/>
    <tableColumn id="2" xr3:uid="{B2F93F95-E2FE-4256-BB45-4B57FA675C95}" name="PA" dataDxfId="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595D29C-E14D-456B-913C-2B85A937D8BE}" name="Tabla7" displayName="Tabla7" ref="Q4:R64" totalsRowShown="0" headerRowDxfId="60" dataDxfId="58" headerRowBorderDxfId="59" tableBorderDxfId="57" totalsRowBorderDxfId="56">
  <autoFilter ref="Q4:R64" xr:uid="{0595D29C-E14D-456B-913C-2B85A937D8BE}">
    <filterColumn colId="0" hiddenButton="1"/>
    <filterColumn colId="1" hiddenButton="1"/>
  </autoFilter>
  <tableColumns count="2">
    <tableColumn id="1" xr3:uid="{8D8AB126-D225-43BC-97B2-25B0CB05FF3E}" name="TE" dataDxfId="55">
      <calculatedColumnFormula>HLOOKUP(Tabla5[[#This Row],[TE]],Tabla2[],2,FALSE)</calculatedColumnFormula>
    </tableColumn>
    <tableColumn id="2" xr3:uid="{639D2FA5-F356-42A8-92CE-C71ECCD1E69B}" name="PA" dataDxfId="54">
      <calculatedColumnFormula>HLOOKUP(Tabla5[[#This Row],[PA]],Tabla3[],2,FALSE)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C2ACBC3-F0D7-41A1-995A-664693334518}" name="Tabla8" displayName="Tabla8" ref="U4:U64" totalsRowShown="0" headerRowDxfId="53" dataDxfId="51" headerRowBorderDxfId="52" tableBorderDxfId="50" totalsRowBorderDxfId="49">
  <autoFilter ref="U4:U64" xr:uid="{2C2ACBC3-F0D7-41A1-995A-664693334518}">
    <filterColumn colId="0" hiddenButton="1"/>
  </autoFilter>
  <tableColumns count="1">
    <tableColumn id="1" xr3:uid="{4DA2B24B-A585-4DBC-A4DC-4F5B4B655CD6}" name="Tarea:Producto Académico N°…" dataDxfId="48">
      <calculatedColumnFormula array="1">IF(Tabla5[[#This Row],[PA]]=-20,0.001,IF(SUM(Tabla4[#This Row])=0,0,SUM(Tabla4[#This Row])*20/(SUMPRODUCT(IF(ISNUMBER(Tabla1[Sobresaliente]),Tabla1[Sobresaliente],0)))+Tabla5[[#This Row],[TE]]+Tabla5[[#This Row],[PA]]))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133E67-9366-41E4-A9C8-857EFD989013}" name="Tabla9" displayName="Tabla9" ref="V4:V64" totalsRowShown="0" headerRowDxfId="47" dataDxfId="45" headerRowBorderDxfId="46" tableBorderDxfId="44" totalsRowBorderDxfId="43">
  <autoFilter ref="V4:V64" xr:uid="{73133E67-9366-41E4-A9C8-857EFD989013}">
    <filterColumn colId="0" hiddenButton="1"/>
  </autoFilter>
  <tableColumns count="1">
    <tableColumn id="1" xr3:uid="{DD0C2A9C-966A-4EAB-9990-D4318D7A8D76}" name="Tarea:Producto Académico N°... (Retroalimentación)" dataDxfId="42">
      <calculatedColumnFormula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6644-F95E-4493-8D56-5A4E0FE2E9F2}" name="Tabla10" displayName="Tabla10" ref="S4:S64" totalsRowShown="0" headerRowDxfId="41" dataDxfId="39" headerRowBorderDxfId="40" tableBorderDxfId="38" totalsRowBorderDxfId="37">
  <autoFilter ref="S4:S64" xr:uid="{D30C6644-F95E-4493-8D56-5A4E0FE2E9F2}">
    <filterColumn colId="0" hiddenButton="1"/>
  </autoFilter>
  <tableColumns count="1">
    <tableColumn id="1" xr3:uid="{21A56F70-CD1E-404C-82F9-FD48628518D3}" name="Comentario adicional" dataDxfId="3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3CFD9E-C6D9-4B0D-935D-29D04B0E3973}" name="Tabla4" displayName="Tabla4" ref="E4:I64" totalsRowShown="0" headerRowDxfId="35" dataDxfId="33" headerRowBorderDxfId="34" tableBorderDxfId="32" totalsRowBorderDxfId="31">
  <autoFilter ref="E4:I64" xr:uid="{683CFD9E-C6D9-4B0D-935D-29D04B0E397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46C0B4C-9478-4B57-B870-02532C7D6420}" name="C1" dataDxfId="30"/>
    <tableColumn id="2" xr3:uid="{5BEE3A44-6C0C-45D9-A670-A962435B1EB6}" name="C2" dataDxfId="29"/>
    <tableColumn id="3" xr3:uid="{8D15F3A0-9952-4B51-8E90-E59604DD9ADE}" name="C3" dataDxfId="28"/>
    <tableColumn id="4" xr3:uid="{A4753598-9E61-4EAE-8909-0F561FE53D95}" name="C4" dataDxfId="27"/>
    <tableColumn id="5" xr3:uid="{8DE5BB4C-1697-496F-AE9C-FA20A67B508A}" name="C5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EEEEFF-D819-4A45-9FF3-69E0D4C651CA}" name="Tabla11" displayName="Tabla11" ref="T4:T64" totalsRowShown="0" headerRowDxfId="25" dataDxfId="23" headerRowBorderDxfId="24" tableBorderDxfId="22" totalsRowBorderDxfId="21">
  <autoFilter ref="T4:T64" xr:uid="{39EEEEFF-D819-4A45-9FF3-69E0D4C651CA}">
    <filterColumn colId="0" hiddenButton="1"/>
  </autoFilter>
  <tableColumns count="1">
    <tableColumn id="1" xr3:uid="{AC7EC827-02FB-4CD7-A9F2-40D9F3F10519}" name="Dirección de correo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BD9D14-59CC-42AE-A380-D72873405999}" name="Tabla6" displayName="Tabla6" ref="L4:P64" totalsRowShown="0" headerRowDxfId="19" dataDxfId="17" headerRowBorderDxfId="18" tableBorderDxfId="16" totalsRowBorderDxfId="15">
  <autoFilter ref="L4:P64" xr:uid="{7CBD9D14-59CC-42AE-A380-D7287340599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16027B4-0C3F-429E-B0CD-7BEACF1E1914}" name="0" dataDxfId="14">
      <calculatedColumnFormula array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calculatedColumnFormula>
    </tableColumn>
    <tableColumn id="2" xr3:uid="{47E8D726-F324-4F27-9C29-E19745E1C558}" name="1" dataDxfId="13">
      <calculatedColumnFormula array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calculatedColumnFormula>
    </tableColumn>
    <tableColumn id="3" xr3:uid="{76CD470B-6AD4-4AFD-8876-6A67B9F4ECD5}" name="2" dataDxfId="12">
      <calculatedColumnFormula array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calculatedColumnFormula>
    </tableColumn>
    <tableColumn id="4" xr3:uid="{C5A44621-FC90-4903-AABE-F7CCC86696C3}" name="3" dataDxfId="11">
      <calculatedColumnFormula array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calculatedColumnFormula>
    </tableColumn>
    <tableColumn id="5" xr3:uid="{FDC0E52D-CD81-4B1E-B18D-15955F08441A}" name="4" dataDxfId="10">
      <calculatedColumnFormula array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59424B-109F-44D2-9FA5-D445B2350319}" name="Tabla12" displayName="Tabla12" ref="B2:G62" totalsRowShown="0" headerRowDxfId="9" headerRowBorderDxfId="8" tableBorderDxfId="7" totalsRowBorderDxfId="6">
  <autoFilter ref="B2:G62" xr:uid="{0659424B-109F-44D2-9FA5-D445B2350319}"/>
  <tableColumns count="6">
    <tableColumn id="4" xr3:uid="{5335D67C-2A26-4AD9-B86B-C44DB50A6DC1}" name="Nombre" dataDxfId="5">
      <calculatedColumnFormula>Calificar!B5</calculatedColumnFormula>
    </tableColumn>
    <tableColumn id="5" xr3:uid="{2DDAA4AE-BF2E-4323-9B33-F3E15D7752D6}" name="Apellido(s)" dataDxfId="4">
      <calculatedColumnFormula>Calificar!C5</calculatedColumnFormula>
    </tableColumn>
    <tableColumn id="6" xr3:uid="{A5B7D1C1-DA7B-4D84-86B3-1685F7CDA663}" name="Nombres y apellidos" dataDxfId="3">
      <calculatedColumnFormula>CONCATENATE(Tabla12[[#This Row],[Nombre]]," ",Tabla12[[#This Row],[Apellido(s)]])</calculatedColumnFormula>
    </tableColumn>
    <tableColumn id="1" xr3:uid="{6F39EF68-5C4C-4DDD-9FC4-68E8E88458D0}" name="Dirección de correo" dataDxfId="2">
      <calculatedColumnFormula>Calificar!T5</calculatedColumnFormula>
    </tableColumn>
    <tableColumn id="2" xr3:uid="{53D01D29-EF58-43BF-92CA-8FDE93E49F93}" name="Tarea:Producto Académico N°…" dataDxfId="1">
      <calculatedColumnFormula>Calificar!U5</calculatedColumnFormula>
    </tableColumn>
    <tableColumn id="3" xr3:uid="{F210D456-C942-4090-AFCD-2D85495EB553}" name="Tarea:Producto Académico N°... (Retroalimentación)" dataDxfId="0">
      <calculatedColumnFormula>Calificar!V5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mo"/>
        <a:ea typeface="Arimo"/>
        <a:cs typeface="Arimo"/>
      </a:majorFont>
      <a:minorFont>
        <a:latin typeface="Arimo"/>
        <a:ea typeface="Arimo"/>
        <a:cs typeface="Arim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</sheetPr>
  <dimension ref="A1:I781"/>
  <sheetViews>
    <sheetView showGridLines="0" tabSelected="1" view="pageBreakPreview" zoomScaleNormal="100" zoomScaleSheetLayoutView="100" workbookViewId="0">
      <selection activeCell="C16" sqref="C16"/>
    </sheetView>
  </sheetViews>
  <sheetFormatPr baseColWidth="10" defaultColWidth="12.625" defaultRowHeight="15" customHeight="1"/>
  <cols>
    <col min="1" max="2" width="11.5" style="1" customWidth="1"/>
    <col min="3" max="6" width="25.25" style="1" customWidth="1"/>
    <col min="7" max="15" width="25.375" style="1" customWidth="1"/>
    <col min="16" max="16" width="12.625" style="1"/>
    <col min="17" max="17" width="12.625" style="1" customWidth="1"/>
    <col min="18" max="16384" width="12.625" style="1"/>
  </cols>
  <sheetData>
    <row r="1" spans="1:9" customFormat="1" ht="27" customHeight="1">
      <c r="A1" s="86" t="s">
        <v>32</v>
      </c>
      <c r="B1" s="86"/>
      <c r="C1" s="86"/>
      <c r="D1" s="86"/>
      <c r="E1" s="86"/>
      <c r="F1" s="86"/>
      <c r="G1" s="86"/>
      <c r="H1" s="86"/>
      <c r="I1" s="86"/>
    </row>
    <row r="2" spans="1:9" customFormat="1" ht="19.5" customHeight="1">
      <c r="A2" s="87" t="s">
        <v>1</v>
      </c>
      <c r="B2" s="87"/>
      <c r="C2" s="87"/>
      <c r="D2" s="87"/>
    </row>
    <row r="3" spans="1:9" customFormat="1" ht="19.5" customHeight="1">
      <c r="A3" s="65"/>
      <c r="B3" s="88" t="s">
        <v>48</v>
      </c>
      <c r="C3" s="88"/>
      <c r="D3" s="88"/>
      <c r="E3" s="88"/>
      <c r="F3" s="88"/>
    </row>
    <row r="4" spans="1:9" customFormat="1" ht="19.5" customHeight="1">
      <c r="A4" s="66"/>
      <c r="B4" s="82" t="s">
        <v>49</v>
      </c>
      <c r="C4" s="82"/>
      <c r="D4" s="82"/>
      <c r="E4" s="82"/>
      <c r="F4" s="83"/>
    </row>
    <row r="5" spans="1:9" customFormat="1" ht="19.5" customHeight="1"/>
    <row r="6" spans="1:9" customFormat="1" ht="19.5" customHeight="1">
      <c r="A6" s="51" t="s">
        <v>0</v>
      </c>
      <c r="B6" s="52" t="s">
        <v>20</v>
      </c>
      <c r="C6" s="53">
        <v>0</v>
      </c>
      <c r="D6" s="53">
        <v>-2</v>
      </c>
    </row>
    <row r="7" spans="1:9" customFormat="1" ht="38.25">
      <c r="A7" s="54" t="s">
        <v>6</v>
      </c>
      <c r="B7" s="55" t="s">
        <v>7</v>
      </c>
      <c r="C7" s="56" t="s">
        <v>23</v>
      </c>
      <c r="D7" s="57" t="s">
        <v>22</v>
      </c>
    </row>
    <row r="8" spans="1:9" customFormat="1" ht="19.5" customHeight="1">
      <c r="A8" s="50" t="s">
        <v>0</v>
      </c>
      <c r="B8" s="58" t="s">
        <v>20</v>
      </c>
      <c r="C8" s="59">
        <v>0</v>
      </c>
      <c r="D8" s="60">
        <v>-20</v>
      </c>
    </row>
    <row r="9" spans="1:9" customFormat="1" ht="63.75">
      <c r="A9" s="61" t="s">
        <v>18</v>
      </c>
      <c r="B9" s="62" t="s">
        <v>19</v>
      </c>
      <c r="C9" s="63" t="s">
        <v>50</v>
      </c>
      <c r="D9" s="64" t="s">
        <v>52</v>
      </c>
    </row>
    <row r="10" spans="1:9">
      <c r="G10" s="77"/>
    </row>
    <row r="11" spans="1:9" ht="14.25"/>
    <row r="12" spans="1:9" ht="14.25" customHeight="1"/>
    <row r="13" spans="1:9" ht="14.25" customHeight="1"/>
    <row r="14" spans="1:9" ht="14.25" customHeight="1">
      <c r="A14" s="79" t="s">
        <v>17</v>
      </c>
      <c r="B14" s="80" t="s">
        <v>16</v>
      </c>
      <c r="C14" s="81" t="s">
        <v>2</v>
      </c>
      <c r="D14" s="81" t="s">
        <v>24</v>
      </c>
      <c r="E14" s="81" t="s">
        <v>27</v>
      </c>
      <c r="F14" s="85" t="s">
        <v>25</v>
      </c>
      <c r="G14" s="85"/>
      <c r="H14" s="85"/>
      <c r="I14" s="85"/>
    </row>
    <row r="15" spans="1:9" ht="15.75" customHeight="1">
      <c r="A15" s="71" t="s">
        <v>0</v>
      </c>
      <c r="B15" s="68" t="s">
        <v>3</v>
      </c>
      <c r="C15" s="69"/>
      <c r="D15" s="69"/>
      <c r="E15" s="69"/>
      <c r="F15" s="84"/>
    </row>
    <row r="16" spans="1:9" ht="63.75">
      <c r="A16" s="72" t="s">
        <v>4</v>
      </c>
      <c r="B16" s="70" t="s">
        <v>5</v>
      </c>
      <c r="C16" s="67" t="s">
        <v>51</v>
      </c>
      <c r="D16" s="67" t="s">
        <v>51</v>
      </c>
      <c r="E16" s="67" t="s">
        <v>51</v>
      </c>
      <c r="F16" s="67" t="s">
        <v>51</v>
      </c>
    </row>
    <row r="17" spans="1:6" ht="15.75" customHeight="1">
      <c r="A17" s="71" t="s">
        <v>0</v>
      </c>
      <c r="B17" s="68" t="s">
        <v>3</v>
      </c>
      <c r="C17" s="69"/>
      <c r="D17" s="69"/>
      <c r="E17" s="69"/>
      <c r="F17" s="69"/>
    </row>
    <row r="18" spans="1:6" ht="63.75">
      <c r="A18" s="72" t="s">
        <v>38</v>
      </c>
      <c r="B18" s="70" t="s">
        <v>39</v>
      </c>
      <c r="C18" s="67" t="s">
        <v>51</v>
      </c>
      <c r="D18" s="67" t="s">
        <v>51</v>
      </c>
      <c r="E18" s="67" t="s">
        <v>51</v>
      </c>
      <c r="F18" s="67" t="s">
        <v>51</v>
      </c>
    </row>
    <row r="19" spans="1:6" ht="15.75" customHeight="1">
      <c r="A19" s="71" t="s">
        <v>0</v>
      </c>
      <c r="B19" s="68" t="s">
        <v>3</v>
      </c>
      <c r="C19" s="69"/>
      <c r="D19" s="69"/>
      <c r="E19" s="69"/>
      <c r="F19" s="69"/>
    </row>
    <row r="20" spans="1:6" ht="63.75">
      <c r="A20" s="72" t="s">
        <v>40</v>
      </c>
      <c r="B20" s="70" t="s">
        <v>45</v>
      </c>
      <c r="C20" s="67" t="s">
        <v>51</v>
      </c>
      <c r="D20" s="67" t="s">
        <v>51</v>
      </c>
      <c r="E20" s="67" t="s">
        <v>51</v>
      </c>
      <c r="F20" s="67" t="s">
        <v>51</v>
      </c>
    </row>
    <row r="21" spans="1:6" ht="18.75">
      <c r="A21" s="71" t="s">
        <v>0</v>
      </c>
      <c r="B21" s="68" t="s">
        <v>3</v>
      </c>
      <c r="C21" s="69"/>
      <c r="D21" s="69"/>
      <c r="E21" s="69"/>
      <c r="F21" s="69"/>
    </row>
    <row r="22" spans="1:6" ht="63.75">
      <c r="A22" s="72" t="s">
        <v>41</v>
      </c>
      <c r="B22" s="70" t="s">
        <v>46</v>
      </c>
      <c r="C22" s="67" t="s">
        <v>51</v>
      </c>
      <c r="D22" s="67" t="s">
        <v>51</v>
      </c>
      <c r="E22" s="67" t="s">
        <v>51</v>
      </c>
      <c r="F22" s="67" t="s">
        <v>51</v>
      </c>
    </row>
    <row r="23" spans="1:6" ht="18.75">
      <c r="A23" s="71" t="s">
        <v>0</v>
      </c>
      <c r="B23" s="68" t="s">
        <v>3</v>
      </c>
      <c r="C23" s="69"/>
      <c r="D23" s="69"/>
      <c r="E23" s="69"/>
      <c r="F23" s="69"/>
    </row>
    <row r="24" spans="1:6" ht="63.75">
      <c r="A24" s="72" t="s">
        <v>42</v>
      </c>
      <c r="B24" s="70" t="s">
        <v>47</v>
      </c>
      <c r="C24" s="67" t="s">
        <v>51</v>
      </c>
      <c r="D24" s="67" t="s">
        <v>51</v>
      </c>
      <c r="E24" s="67" t="s">
        <v>51</v>
      </c>
      <c r="F24" s="67" t="s">
        <v>51</v>
      </c>
    </row>
    <row r="25" spans="1:6" ht="14.25"/>
    <row r="26" spans="1:6" ht="14.25"/>
    <row r="27" spans="1:6" ht="14.25"/>
    <row r="28" spans="1:6" ht="14.25"/>
    <row r="29" spans="1:6" ht="14.25"/>
    <row r="30" spans="1:6" ht="14.25"/>
    <row r="31" spans="1:6" ht="14.25"/>
    <row r="32" spans="1:6" ht="14.25"/>
    <row r="33" ht="14.25"/>
    <row r="34" ht="14.25"/>
    <row r="35" ht="14.25"/>
    <row r="36" ht="14.25"/>
    <row r="37" ht="14.25"/>
    <row r="38" ht="14.25"/>
    <row r="39" ht="14.25"/>
    <row r="40" ht="14.25"/>
    <row r="41" ht="14.25"/>
    <row r="42" ht="14.25"/>
    <row r="43" ht="14.25"/>
    <row r="44" ht="14.25"/>
    <row r="45" ht="14.25"/>
    <row r="46" ht="14.25"/>
    <row r="47" ht="14.25"/>
    <row r="48" ht="14.25"/>
    <row r="49" ht="14.25"/>
    <row r="50" ht="14.25"/>
    <row r="51" ht="14.25"/>
    <row r="52" ht="14.25"/>
    <row r="53" ht="14.25"/>
    <row r="54" ht="14.25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</sheetData>
  <mergeCells count="3">
    <mergeCell ref="A1:I1"/>
    <mergeCell ref="A2:D2"/>
    <mergeCell ref="B3:F3"/>
  </mergeCells>
  <phoneticPr fontId="12" type="noConversion"/>
  <pageMargins left="0.7" right="0.7" top="0.75" bottom="0.75" header="0" footer="0"/>
  <pageSetup paperSize="9" scale="36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A1:AZ64"/>
  <sheetViews>
    <sheetView showGridLines="0" zoomScaleNormal="100" zoomScaleSheetLayoutView="100" workbookViewId="0">
      <selection activeCell="V4" sqref="V4"/>
    </sheetView>
  </sheetViews>
  <sheetFormatPr baseColWidth="10" defaultColWidth="12.625" defaultRowHeight="15" customHeight="1"/>
  <cols>
    <col min="1" max="1" width="2.875" style="1" customWidth="1"/>
    <col min="2" max="2" width="24.875" style="1" customWidth="1"/>
    <col min="3" max="3" width="26.5" style="1" customWidth="1"/>
    <col min="4" max="4" width="7.5" style="1" customWidth="1"/>
    <col min="5" max="11" width="3.875" style="1" customWidth="1"/>
    <col min="12" max="18" width="3.875" style="1" hidden="1" customWidth="1"/>
    <col min="19" max="19" width="46.625" style="1" customWidth="1"/>
    <col min="20" max="20" width="25.75" style="1" customWidth="1"/>
    <col min="21" max="21" width="15.125" style="1" customWidth="1"/>
    <col min="22" max="22" width="18.625" style="1" customWidth="1"/>
    <col min="23" max="23" width="9" style="1" customWidth="1"/>
    <col min="24" max="24" width="18.625" style="1" customWidth="1"/>
    <col min="25" max="25" width="9" style="1" customWidth="1"/>
    <col min="26" max="26" width="18.625" style="1" customWidth="1"/>
    <col min="27" max="27" width="9" style="1" customWidth="1"/>
    <col min="28" max="28" width="18.625" style="1" customWidth="1"/>
    <col min="29" max="29" width="9" style="1" customWidth="1"/>
    <col min="30" max="30" width="18.625" style="1" customWidth="1"/>
    <col min="31" max="31" width="9" style="1" customWidth="1"/>
    <col min="32" max="32" width="18.625" style="1" customWidth="1"/>
    <col min="33" max="33" width="9" style="1" customWidth="1"/>
    <col min="34" max="34" width="18.625" style="1" customWidth="1"/>
    <col min="35" max="35" width="9" style="1" customWidth="1"/>
    <col min="36" max="36" width="18.625" style="1" customWidth="1"/>
    <col min="37" max="37" width="9" style="1" customWidth="1"/>
    <col min="38" max="38" width="18.625" style="1" customWidth="1"/>
    <col min="39" max="39" width="9" style="1" customWidth="1"/>
    <col min="40" max="40" width="18.625" style="1" customWidth="1"/>
    <col min="41" max="41" width="9" style="1" customWidth="1"/>
    <col min="42" max="42" width="18.625" style="1" customWidth="1"/>
    <col min="43" max="43" width="9" style="1" customWidth="1"/>
    <col min="44" max="44" width="18.625" style="1" customWidth="1"/>
    <col min="45" max="45" width="9" style="1" customWidth="1"/>
    <col min="46" max="46" width="18.625" style="1" customWidth="1"/>
    <col min="47" max="47" width="9" style="1" customWidth="1"/>
    <col min="48" max="48" width="18.625" style="1" customWidth="1"/>
    <col min="49" max="49" width="9" style="1" customWidth="1"/>
    <col min="50" max="50" width="18.625" style="1" customWidth="1"/>
    <col min="51" max="51" width="9" style="1" customWidth="1"/>
    <col min="52" max="52" width="18.625" style="1" customWidth="1"/>
    <col min="53" max="53" width="9" style="1" customWidth="1"/>
    <col min="54" max="16384" width="12.625" style="1"/>
  </cols>
  <sheetData>
    <row r="1" spans="1:52" ht="27" customHeight="1">
      <c r="A1" s="86" t="s">
        <v>33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</row>
    <row r="2" spans="1:52" ht="18" customHeight="1">
      <c r="A2" s="2"/>
      <c r="B2" s="89" t="s">
        <v>14</v>
      </c>
      <c r="C2" s="90"/>
      <c r="D2" s="91"/>
    </row>
    <row r="3" spans="1:52" ht="18" customHeight="1">
      <c r="A3" s="3"/>
      <c r="B3" s="89" t="s">
        <v>15</v>
      </c>
      <c r="C3" s="90"/>
      <c r="D3" s="91"/>
    </row>
    <row r="4" spans="1:52" ht="46.5" customHeight="1">
      <c r="A4" s="4"/>
      <c r="B4" s="5" t="s">
        <v>8</v>
      </c>
      <c r="C4" s="5" t="s">
        <v>9</v>
      </c>
      <c r="D4" s="6" t="s">
        <v>10</v>
      </c>
      <c r="E4" s="7" t="s">
        <v>4</v>
      </c>
      <c r="F4" s="75" t="s">
        <v>38</v>
      </c>
      <c r="G4" s="75" t="s">
        <v>40</v>
      </c>
      <c r="H4" s="75" t="s">
        <v>41</v>
      </c>
      <c r="I4" s="75" t="s">
        <v>42</v>
      </c>
      <c r="J4" s="7" t="s">
        <v>6</v>
      </c>
      <c r="K4" s="8" t="s">
        <v>18</v>
      </c>
      <c r="L4" s="21" t="s">
        <v>44</v>
      </c>
      <c r="M4" s="21" t="s">
        <v>26</v>
      </c>
      <c r="N4" s="21" t="s">
        <v>37</v>
      </c>
      <c r="O4" s="21" t="s">
        <v>36</v>
      </c>
      <c r="P4" s="21" t="s">
        <v>43</v>
      </c>
      <c r="Q4" s="22" t="s">
        <v>6</v>
      </c>
      <c r="R4" s="23" t="s">
        <v>18</v>
      </c>
      <c r="S4" s="9" t="s">
        <v>21</v>
      </c>
      <c r="T4" s="28" t="s">
        <v>11</v>
      </c>
      <c r="U4" s="29" t="s">
        <v>12</v>
      </c>
      <c r="V4" s="29" t="s">
        <v>13</v>
      </c>
    </row>
    <row r="5" spans="1:52" ht="14.25" customHeight="1">
      <c r="A5" s="10">
        <v>1</v>
      </c>
      <c r="B5" s="32"/>
      <c r="C5" s="33"/>
      <c r="D5" s="10"/>
      <c r="E5" s="11"/>
      <c r="F5" s="11"/>
      <c r="G5" s="11"/>
      <c r="H5" s="11"/>
      <c r="I5" s="11"/>
      <c r="J5" s="12"/>
      <c r="K5" s="13"/>
      <c r="L5" s="76" t="str" cm="1">
        <f t="array" aca="1" ref="L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" s="76" t="str" cm="1">
        <f t="array" aca="1" ref="M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" s="76" t="str" cm="1">
        <f t="array" aca="1" ref="N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" s="76" t="str" cm="1">
        <f t="array" aca="1" ref="O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" s="76" t="str" cm="1">
        <f t="array" aca="1" ref="P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" s="24" t="str">
        <f>HLOOKUP(Tabla5[[#This Row],[TE]],Tabla2[],2,FALSE)</f>
        <v>Entregó el PA dentro del plazo establecido.</v>
      </c>
      <c r="R5" s="25" t="str">
        <f>HLOOKUP(Tabla5[[#This Row],[PA]],Tabla3[],2,FALSE)</f>
        <v>El trabajo presentado es original.</v>
      </c>
      <c r="S5" s="14"/>
      <c r="T5" s="15"/>
      <c r="U5" s="73" cm="1">
        <f t="array" ref="U5">IF(Tabla5[[#This Row],[PA]]=-20,0.001,IF(SUM(Tabla4[#This Row])=0,0,SUM(Tabla4[#This Row])*20/(SUMPRODUCT(IF(ISNUMBER(Tabla1[Sobresaliente]),Tabla1[Sobresaliente],0)))+Tabla5[[#This Row],[TE]]+Tabla5[[#This Row],[PA]]))</f>
        <v>0</v>
      </c>
      <c r="V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" spans="1:52" ht="14.25" customHeight="1">
      <c r="A6" s="14">
        <v>2</v>
      </c>
      <c r="B6" s="34"/>
      <c r="C6" s="35"/>
      <c r="D6" s="14"/>
      <c r="E6" s="11"/>
      <c r="F6" s="17"/>
      <c r="G6" s="17"/>
      <c r="H6" s="17"/>
      <c r="I6" s="17"/>
      <c r="J6" s="12"/>
      <c r="K6" s="16"/>
      <c r="L6" s="76" t="str" cm="1">
        <f t="array" aca="1" ref="L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" s="76" t="str" cm="1">
        <f t="array" aca="1" ref="M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" s="76" t="str" cm="1">
        <f t="array" aca="1" ref="N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" s="76" t="str" cm="1">
        <f t="array" aca="1" ref="O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" s="76" t="str" cm="1">
        <f t="array" aca="1" ref="P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" s="24" t="str">
        <f>HLOOKUP(Tabla5[[#This Row],[TE]],Tabla2[],2,FALSE)</f>
        <v>Entregó el PA dentro del plazo establecido.</v>
      </c>
      <c r="R6" s="25" t="str">
        <f>HLOOKUP(Tabla5[[#This Row],[PA]],Tabla3[],2,FALSE)</f>
        <v>El trabajo presentado es original.</v>
      </c>
      <c r="S6" s="14"/>
      <c r="T6" s="15"/>
      <c r="U6" s="73" cm="1">
        <f t="array" ref="U6">IF(Tabla5[[#This Row],[PA]]=-20,0.001,IF(SUM(Tabla4[#This Row])=0,0,SUM(Tabla4[#This Row])*20/(SUMPRODUCT(IF(ISNUMBER(Tabla1[Sobresaliente]),Tabla1[Sobresaliente],0)))+Tabla5[[#This Row],[TE]]+Tabla5[[#This Row],[PA]]))</f>
        <v>0</v>
      </c>
      <c r="V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7" spans="1:52" ht="14.25" customHeight="1">
      <c r="A7" s="14">
        <v>3</v>
      </c>
      <c r="B7" s="34"/>
      <c r="C7" s="35"/>
      <c r="D7" s="14"/>
      <c r="E7" s="17"/>
      <c r="F7" s="17"/>
      <c r="G7" s="17"/>
      <c r="H7" s="17"/>
      <c r="I7" s="17"/>
      <c r="J7" s="12"/>
      <c r="K7" s="16"/>
      <c r="L7" s="76" t="str" cm="1">
        <f t="array" aca="1" ref="L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7" s="76" t="str" cm="1">
        <f t="array" aca="1" ref="M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7" s="76" t="str" cm="1">
        <f t="array" aca="1" ref="N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7" s="76" t="str" cm="1">
        <f t="array" aca="1" ref="O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7" s="76" t="str" cm="1">
        <f t="array" aca="1" ref="P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7" s="24" t="str">
        <f>HLOOKUP(Tabla5[[#This Row],[TE]],Tabla2[],2,FALSE)</f>
        <v>Entregó el PA dentro del plazo establecido.</v>
      </c>
      <c r="R7" s="25" t="str">
        <f>HLOOKUP(Tabla5[[#This Row],[PA]],Tabla3[],2,FALSE)</f>
        <v>El trabajo presentado es original.</v>
      </c>
      <c r="S7" s="14"/>
      <c r="T7" s="15"/>
      <c r="U7" s="73" cm="1">
        <f t="array" ref="U7">IF(Tabla5[[#This Row],[PA]]=-20,0.001,IF(SUM(Tabla4[#This Row])=0,0,SUM(Tabla4[#This Row])*20/(SUMPRODUCT(IF(ISNUMBER(Tabla1[Sobresaliente]),Tabla1[Sobresaliente],0)))+Tabla5[[#This Row],[TE]]+Tabla5[[#This Row],[PA]]))</f>
        <v>0</v>
      </c>
      <c r="V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8" spans="1:52" ht="14.25" customHeight="1">
      <c r="A8" s="14">
        <v>4</v>
      </c>
      <c r="B8" s="34"/>
      <c r="C8" s="35"/>
      <c r="D8" s="14"/>
      <c r="E8" s="17"/>
      <c r="F8" s="17"/>
      <c r="G8" s="17"/>
      <c r="H8" s="17"/>
      <c r="I8" s="17"/>
      <c r="J8" s="12"/>
      <c r="K8" s="16"/>
      <c r="L8" s="76" t="str" cm="1">
        <f t="array" aca="1" ref="L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8" s="76" t="str" cm="1">
        <f t="array" aca="1" ref="M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8" s="76" t="str" cm="1">
        <f t="array" aca="1" ref="N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8" s="76" t="str" cm="1">
        <f t="array" aca="1" ref="O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8" s="76" t="str" cm="1">
        <f t="array" aca="1" ref="P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8" s="24" t="str">
        <f>HLOOKUP(Tabla5[[#This Row],[TE]],Tabla2[],2,FALSE)</f>
        <v>Entregó el PA dentro del plazo establecido.</v>
      </c>
      <c r="R8" s="25" t="str">
        <f>HLOOKUP(Tabla5[[#This Row],[PA]],Tabla3[],2,FALSE)</f>
        <v>El trabajo presentado es original.</v>
      </c>
      <c r="S8" s="14"/>
      <c r="T8" s="15"/>
      <c r="U8" s="73" cm="1">
        <f t="array" ref="U8">IF(Tabla5[[#This Row],[PA]]=-20,0.001,IF(SUM(Tabla4[#This Row])=0,0,SUM(Tabla4[#This Row])*20/(SUMPRODUCT(IF(ISNUMBER(Tabla1[Sobresaliente]),Tabla1[Sobresaliente],0)))+Tabla5[[#This Row],[TE]]+Tabla5[[#This Row],[PA]]))</f>
        <v>0</v>
      </c>
      <c r="V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9" spans="1:52" ht="14.25" customHeight="1">
      <c r="A9" s="14">
        <v>5</v>
      </c>
      <c r="B9" s="34"/>
      <c r="C9" s="35"/>
      <c r="D9" s="14"/>
      <c r="E9" s="17"/>
      <c r="F9" s="17"/>
      <c r="G9" s="17"/>
      <c r="H9" s="17"/>
      <c r="I9" s="17"/>
      <c r="J9" s="12"/>
      <c r="K9" s="16"/>
      <c r="L9" s="76" t="str" cm="1">
        <f t="array" aca="1" ref="L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9" s="76" t="str" cm="1">
        <f t="array" aca="1" ref="M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9" s="76" t="str" cm="1">
        <f t="array" aca="1" ref="N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9" s="76" t="str" cm="1">
        <f t="array" aca="1" ref="O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9" s="76" t="str" cm="1">
        <f t="array" aca="1" ref="P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9" s="24" t="str">
        <f>HLOOKUP(Tabla5[[#This Row],[TE]],Tabla2[],2,FALSE)</f>
        <v>Entregó el PA dentro del plazo establecido.</v>
      </c>
      <c r="R9" s="25" t="str">
        <f>HLOOKUP(Tabla5[[#This Row],[PA]],Tabla3[],2,FALSE)</f>
        <v>El trabajo presentado es original.</v>
      </c>
      <c r="S9" s="14"/>
      <c r="T9" s="15"/>
      <c r="U9" s="73" cm="1">
        <f t="array" ref="U9">IF(Tabla5[[#This Row],[PA]]=-20,0.001,IF(SUM(Tabla4[#This Row])=0,0,SUM(Tabla4[#This Row])*20/(SUMPRODUCT(IF(ISNUMBER(Tabla1[Sobresaliente]),Tabla1[Sobresaliente],0)))+Tabla5[[#This Row],[TE]]+Tabla5[[#This Row],[PA]]))</f>
        <v>0</v>
      </c>
      <c r="V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0" spans="1:52" ht="14.25" customHeight="1">
      <c r="A10" s="14">
        <v>6</v>
      </c>
      <c r="B10" s="34"/>
      <c r="C10" s="35"/>
      <c r="D10" s="14"/>
      <c r="E10" s="17"/>
      <c r="F10" s="17"/>
      <c r="G10" s="17"/>
      <c r="H10" s="17"/>
      <c r="I10" s="17"/>
      <c r="J10" s="12"/>
      <c r="K10" s="16"/>
      <c r="L10" s="76" t="str" cm="1">
        <f t="array" aca="1" ref="L1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0" s="76" t="str" cm="1">
        <f t="array" aca="1" ref="M1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0" s="76" t="str" cm="1">
        <f t="array" aca="1" ref="N1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0" s="76" t="str" cm="1">
        <f t="array" aca="1" ref="O1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0" s="76" t="str" cm="1">
        <f t="array" aca="1" ref="P1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0" s="24" t="str">
        <f>HLOOKUP(Tabla5[[#This Row],[TE]],Tabla2[],2,FALSE)</f>
        <v>Entregó el PA dentro del plazo establecido.</v>
      </c>
      <c r="R10" s="25" t="str">
        <f>HLOOKUP(Tabla5[[#This Row],[PA]],Tabla3[],2,FALSE)</f>
        <v>El trabajo presentado es original.</v>
      </c>
      <c r="S10" s="14"/>
      <c r="T10" s="15"/>
      <c r="U10" s="73" cm="1">
        <f t="array" ref="U10">IF(Tabla5[[#This Row],[PA]]=-20,0.001,IF(SUM(Tabla4[#This Row])=0,0,SUM(Tabla4[#This Row])*20/(SUMPRODUCT(IF(ISNUMBER(Tabla1[Sobresaliente]),Tabla1[Sobresaliente],0)))+Tabla5[[#This Row],[TE]]+Tabla5[[#This Row],[PA]]))</f>
        <v>0</v>
      </c>
      <c r="V1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1" spans="1:52" ht="14.25" customHeight="1">
      <c r="A11" s="14">
        <v>7</v>
      </c>
      <c r="B11" s="34"/>
      <c r="C11" s="35"/>
      <c r="D11" s="14"/>
      <c r="E11" s="17"/>
      <c r="F11" s="17"/>
      <c r="G11" s="17"/>
      <c r="H11" s="17"/>
      <c r="I11" s="17"/>
      <c r="J11" s="12"/>
      <c r="K11" s="16"/>
      <c r="L11" s="76" t="str" cm="1">
        <f t="array" aca="1" ref="L1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1" s="76" t="str" cm="1">
        <f t="array" aca="1" ref="M1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1" s="76" t="str" cm="1">
        <f t="array" aca="1" ref="N1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1" s="76" t="str" cm="1">
        <f t="array" aca="1" ref="O1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1" s="76" t="str" cm="1">
        <f t="array" aca="1" ref="P1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1" s="24" t="str">
        <f>HLOOKUP(Tabla5[[#This Row],[TE]],Tabla2[],2,FALSE)</f>
        <v>Entregó el PA dentro del plazo establecido.</v>
      </c>
      <c r="R11" s="25" t="str">
        <f>HLOOKUP(Tabla5[[#This Row],[PA]],Tabla3[],2,FALSE)</f>
        <v>El trabajo presentado es original.</v>
      </c>
      <c r="S11" s="14"/>
      <c r="T11" s="15"/>
      <c r="U11" s="73" cm="1">
        <f t="array" ref="U11">IF(Tabla5[[#This Row],[PA]]=-20,0.001,IF(SUM(Tabla4[#This Row])=0,0,SUM(Tabla4[#This Row])*20/(SUMPRODUCT(IF(ISNUMBER(Tabla1[Sobresaliente]),Tabla1[Sobresaliente],0)))+Tabla5[[#This Row],[TE]]+Tabla5[[#This Row],[PA]]))</f>
        <v>0</v>
      </c>
      <c r="V1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2" spans="1:52" ht="14.25" customHeight="1">
      <c r="A12" s="14">
        <v>8</v>
      </c>
      <c r="B12" s="34"/>
      <c r="C12" s="35"/>
      <c r="D12" s="14"/>
      <c r="E12" s="17"/>
      <c r="F12" s="17"/>
      <c r="G12" s="17"/>
      <c r="H12" s="17"/>
      <c r="I12" s="17"/>
      <c r="J12" s="12"/>
      <c r="K12" s="16"/>
      <c r="L12" s="76" t="str" cm="1">
        <f t="array" aca="1" ref="L1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2" s="76" t="str" cm="1">
        <f t="array" aca="1" ref="M1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2" s="76" t="str" cm="1">
        <f t="array" aca="1" ref="N1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2" s="76" t="str" cm="1">
        <f t="array" aca="1" ref="O1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2" s="76" t="str" cm="1">
        <f t="array" aca="1" ref="P1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2" s="24" t="str">
        <f>HLOOKUP(Tabla5[[#This Row],[TE]],Tabla2[],2,FALSE)</f>
        <v>Entregó el PA dentro del plazo establecido.</v>
      </c>
      <c r="R12" s="25" t="str">
        <f>HLOOKUP(Tabla5[[#This Row],[PA]],Tabla3[],2,FALSE)</f>
        <v>El trabajo presentado es original.</v>
      </c>
      <c r="S12" s="14"/>
      <c r="T12" s="15"/>
      <c r="U12" s="73" cm="1">
        <f t="array" ref="U12">IF(Tabla5[[#This Row],[PA]]=-20,0.001,IF(SUM(Tabla4[#This Row])=0,0,SUM(Tabla4[#This Row])*20/(SUMPRODUCT(IF(ISNUMBER(Tabla1[Sobresaliente]),Tabla1[Sobresaliente],0)))+Tabla5[[#This Row],[TE]]+Tabla5[[#This Row],[PA]]))</f>
        <v>0</v>
      </c>
      <c r="V1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3" spans="1:52" ht="14.25" customHeight="1">
      <c r="A13" s="14">
        <v>9</v>
      </c>
      <c r="B13" s="34"/>
      <c r="C13" s="35"/>
      <c r="D13" s="14"/>
      <c r="E13" s="17"/>
      <c r="F13" s="17"/>
      <c r="G13" s="17"/>
      <c r="H13" s="17"/>
      <c r="I13" s="17"/>
      <c r="J13" s="12"/>
      <c r="K13" s="16"/>
      <c r="L13" s="76" t="str" cm="1">
        <f t="array" aca="1" ref="L1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3" s="76" t="str" cm="1">
        <f t="array" aca="1" ref="M1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3" s="76" t="str" cm="1">
        <f t="array" aca="1" ref="N1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3" s="76" t="str" cm="1">
        <f t="array" aca="1" ref="O1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3" s="76" t="str" cm="1">
        <f t="array" aca="1" ref="P1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3" s="24" t="str">
        <f>HLOOKUP(Tabla5[[#This Row],[TE]],Tabla2[],2,FALSE)</f>
        <v>Entregó el PA dentro del plazo establecido.</v>
      </c>
      <c r="R13" s="25" t="str">
        <f>HLOOKUP(Tabla5[[#This Row],[PA]],Tabla3[],2,FALSE)</f>
        <v>El trabajo presentado es original.</v>
      </c>
      <c r="S13" s="14"/>
      <c r="T13" s="15"/>
      <c r="U13" s="73" cm="1">
        <f t="array" ref="U13">IF(Tabla5[[#This Row],[PA]]=-20,0.001,IF(SUM(Tabla4[#This Row])=0,0,SUM(Tabla4[#This Row])*20/(SUMPRODUCT(IF(ISNUMBER(Tabla1[Sobresaliente]),Tabla1[Sobresaliente],0)))+Tabla5[[#This Row],[TE]]+Tabla5[[#This Row],[PA]]))</f>
        <v>0</v>
      </c>
      <c r="V1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4" spans="1:52" ht="14.25" customHeight="1">
      <c r="A14" s="14">
        <v>10</v>
      </c>
      <c r="B14" s="34"/>
      <c r="C14" s="35"/>
      <c r="D14" s="14"/>
      <c r="E14" s="17"/>
      <c r="F14" s="17"/>
      <c r="G14" s="17"/>
      <c r="H14" s="17"/>
      <c r="I14" s="17"/>
      <c r="J14" s="12"/>
      <c r="K14" s="16"/>
      <c r="L14" s="76" t="str" cm="1">
        <f t="array" aca="1" ref="L1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4" s="76" t="str" cm="1">
        <f t="array" aca="1" ref="M1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4" s="76" t="str" cm="1">
        <f t="array" aca="1" ref="N1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4" s="76" t="str" cm="1">
        <f t="array" aca="1" ref="O1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4" s="76" t="str" cm="1">
        <f t="array" aca="1" ref="P1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4" s="24" t="str">
        <f>HLOOKUP(Tabla5[[#This Row],[TE]],Tabla2[],2,FALSE)</f>
        <v>Entregó el PA dentro del plazo establecido.</v>
      </c>
      <c r="R14" s="25" t="str">
        <f>HLOOKUP(Tabla5[[#This Row],[PA]],Tabla3[],2,FALSE)</f>
        <v>El trabajo presentado es original.</v>
      </c>
      <c r="S14" s="14"/>
      <c r="T14" s="15"/>
      <c r="U14" s="73" cm="1">
        <f t="array" ref="U14">IF(Tabla5[[#This Row],[PA]]=-20,0.001,IF(SUM(Tabla4[#This Row])=0,0,SUM(Tabla4[#This Row])*20/(SUMPRODUCT(IF(ISNUMBER(Tabla1[Sobresaliente]),Tabla1[Sobresaliente],0)))+Tabla5[[#This Row],[TE]]+Tabla5[[#This Row],[PA]]))</f>
        <v>0</v>
      </c>
      <c r="V14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5" spans="1:52" ht="14.25" customHeight="1">
      <c r="A15" s="14">
        <v>11</v>
      </c>
      <c r="B15" s="34"/>
      <c r="C15" s="35"/>
      <c r="D15" s="14"/>
      <c r="E15" s="17"/>
      <c r="F15" s="17"/>
      <c r="G15" s="17"/>
      <c r="H15" s="17"/>
      <c r="I15" s="17"/>
      <c r="J15" s="12"/>
      <c r="K15" s="16"/>
      <c r="L15" s="76" t="str" cm="1">
        <f t="array" aca="1" ref="L1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5" s="76" t="str" cm="1">
        <f t="array" aca="1" ref="M1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5" s="76" t="str" cm="1">
        <f t="array" aca="1" ref="N1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5" s="76" t="str" cm="1">
        <f t="array" aca="1" ref="O1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5" s="76" t="str" cm="1">
        <f t="array" aca="1" ref="P1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5" s="24" t="str">
        <f>HLOOKUP(Tabla5[[#This Row],[TE]],Tabla2[],2,FALSE)</f>
        <v>Entregó el PA dentro del plazo establecido.</v>
      </c>
      <c r="R15" s="25" t="str">
        <f>HLOOKUP(Tabla5[[#This Row],[PA]],Tabla3[],2,FALSE)</f>
        <v>El trabajo presentado es original.</v>
      </c>
      <c r="S15" s="14"/>
      <c r="T15" s="15"/>
      <c r="U15" s="73" cm="1">
        <f t="array" ref="U15">IF(Tabla5[[#This Row],[PA]]=-20,0.001,IF(SUM(Tabla4[#This Row])=0,0,SUM(Tabla4[#This Row])*20/(SUMPRODUCT(IF(ISNUMBER(Tabla1[Sobresaliente]),Tabla1[Sobresaliente],0)))+Tabla5[[#This Row],[TE]]+Tabla5[[#This Row],[PA]]))</f>
        <v>0</v>
      </c>
      <c r="V1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6" spans="1:52" ht="14.25" customHeight="1">
      <c r="A16" s="14">
        <v>12</v>
      </c>
      <c r="B16" s="34"/>
      <c r="C16" s="35"/>
      <c r="D16" s="14"/>
      <c r="E16" s="17"/>
      <c r="F16" s="17"/>
      <c r="G16" s="17"/>
      <c r="H16" s="17"/>
      <c r="I16" s="17"/>
      <c r="J16" s="12"/>
      <c r="K16" s="16"/>
      <c r="L16" s="76" t="str" cm="1">
        <f t="array" aca="1" ref="L1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6" s="76" t="str" cm="1">
        <f t="array" aca="1" ref="M1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6" s="76" t="str" cm="1">
        <f t="array" aca="1" ref="N1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6" s="76" t="str" cm="1">
        <f t="array" aca="1" ref="O1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6" s="76" t="str" cm="1">
        <f t="array" aca="1" ref="P1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6" s="24" t="str">
        <f>HLOOKUP(Tabla5[[#This Row],[TE]],Tabla2[],2,FALSE)</f>
        <v>Entregó el PA dentro del plazo establecido.</v>
      </c>
      <c r="R16" s="25" t="str">
        <f>HLOOKUP(Tabla5[[#This Row],[PA]],Tabla3[],2,FALSE)</f>
        <v>El trabajo presentado es original.</v>
      </c>
      <c r="S16" s="14"/>
      <c r="T16" s="15"/>
      <c r="U16" s="73" cm="1">
        <f t="array" ref="U16">IF(Tabla5[[#This Row],[PA]]=-20,0.001,IF(SUM(Tabla4[#This Row])=0,0,SUM(Tabla4[#This Row])*20/(SUMPRODUCT(IF(ISNUMBER(Tabla1[Sobresaliente]),Tabla1[Sobresaliente],0)))+Tabla5[[#This Row],[TE]]+Tabla5[[#This Row],[PA]]))</f>
        <v>0</v>
      </c>
      <c r="V1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7" spans="1:22" ht="14.25" customHeight="1">
      <c r="A17" s="14">
        <v>13</v>
      </c>
      <c r="B17" s="34"/>
      <c r="C17" s="35"/>
      <c r="D17" s="14"/>
      <c r="E17" s="17"/>
      <c r="F17" s="17"/>
      <c r="G17" s="17"/>
      <c r="H17" s="17"/>
      <c r="I17" s="17"/>
      <c r="J17" s="12"/>
      <c r="K17" s="16"/>
      <c r="L17" s="76" t="str" cm="1">
        <f t="array" aca="1" ref="L1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7" s="76" t="str" cm="1">
        <f t="array" aca="1" ref="M1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7" s="76" t="str" cm="1">
        <f t="array" aca="1" ref="N1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7" s="76" t="str" cm="1">
        <f t="array" aca="1" ref="O1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7" s="76" t="str" cm="1">
        <f t="array" aca="1" ref="P1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7" s="24" t="str">
        <f>HLOOKUP(Tabla5[[#This Row],[TE]],Tabla2[],2,FALSE)</f>
        <v>Entregó el PA dentro del plazo establecido.</v>
      </c>
      <c r="R17" s="25" t="str">
        <f>HLOOKUP(Tabla5[[#This Row],[PA]],Tabla3[],2,FALSE)</f>
        <v>El trabajo presentado es original.</v>
      </c>
      <c r="S17" s="14"/>
      <c r="T17" s="15"/>
      <c r="U17" s="73" cm="1">
        <f t="array" ref="U17">IF(Tabla5[[#This Row],[PA]]=-20,0.001,IF(SUM(Tabla4[#This Row])=0,0,SUM(Tabla4[#This Row])*20/(SUMPRODUCT(IF(ISNUMBER(Tabla1[Sobresaliente]),Tabla1[Sobresaliente],0)))+Tabla5[[#This Row],[TE]]+Tabla5[[#This Row],[PA]]))</f>
        <v>0</v>
      </c>
      <c r="V1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8" spans="1:22" ht="14.25" customHeight="1">
      <c r="A18" s="14">
        <v>14</v>
      </c>
      <c r="B18" s="34"/>
      <c r="C18" s="35"/>
      <c r="D18" s="14"/>
      <c r="E18" s="17"/>
      <c r="F18" s="17"/>
      <c r="G18" s="17"/>
      <c r="H18" s="17"/>
      <c r="I18" s="17"/>
      <c r="J18" s="12"/>
      <c r="K18" s="16"/>
      <c r="L18" s="76" t="str" cm="1">
        <f t="array" aca="1" ref="L1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8" s="76" t="str" cm="1">
        <f t="array" aca="1" ref="M1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8" s="76" t="str" cm="1">
        <f t="array" aca="1" ref="N1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8" s="76" t="str" cm="1">
        <f t="array" aca="1" ref="O1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8" s="76" t="str" cm="1">
        <f t="array" aca="1" ref="P1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8" s="24" t="str">
        <f>HLOOKUP(Tabla5[[#This Row],[TE]],Tabla2[],2,FALSE)</f>
        <v>Entregó el PA dentro del plazo establecido.</v>
      </c>
      <c r="R18" s="25" t="str">
        <f>HLOOKUP(Tabla5[[#This Row],[PA]],Tabla3[],2,FALSE)</f>
        <v>El trabajo presentado es original.</v>
      </c>
      <c r="S18" s="14"/>
      <c r="T18" s="15"/>
      <c r="U18" s="73" cm="1">
        <f t="array" ref="U18">IF(Tabla5[[#This Row],[PA]]=-20,0.001,IF(SUM(Tabla4[#This Row])=0,0,SUM(Tabla4[#This Row])*20/(SUMPRODUCT(IF(ISNUMBER(Tabla1[Sobresaliente]),Tabla1[Sobresaliente],0)))+Tabla5[[#This Row],[TE]]+Tabla5[[#This Row],[PA]]))</f>
        <v>0</v>
      </c>
      <c r="V1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9" spans="1:22" ht="14.25" customHeight="1">
      <c r="A19" s="14">
        <v>15</v>
      </c>
      <c r="B19" s="34"/>
      <c r="C19" s="35"/>
      <c r="D19" s="14"/>
      <c r="E19" s="17"/>
      <c r="F19" s="17"/>
      <c r="G19" s="17"/>
      <c r="H19" s="17"/>
      <c r="I19" s="17"/>
      <c r="J19" s="12"/>
      <c r="K19" s="16"/>
      <c r="L19" s="76" t="str" cm="1">
        <f t="array" aca="1" ref="L1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19" s="76" t="str" cm="1">
        <f t="array" aca="1" ref="M1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19" s="76" t="str" cm="1">
        <f t="array" aca="1" ref="N1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19" s="76" t="str" cm="1">
        <f t="array" aca="1" ref="O1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19" s="76" t="str" cm="1">
        <f t="array" aca="1" ref="P1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19" s="24" t="str">
        <f>HLOOKUP(Tabla5[[#This Row],[TE]],Tabla2[],2,FALSE)</f>
        <v>Entregó el PA dentro del plazo establecido.</v>
      </c>
      <c r="R19" s="25" t="str">
        <f>HLOOKUP(Tabla5[[#This Row],[PA]],Tabla3[],2,FALSE)</f>
        <v>El trabajo presentado es original.</v>
      </c>
      <c r="S19" s="14"/>
      <c r="T19" s="15"/>
      <c r="U19" s="73" cm="1">
        <f t="array" ref="U19">IF(Tabla5[[#This Row],[PA]]=-20,0.001,IF(SUM(Tabla4[#This Row])=0,0,SUM(Tabla4[#This Row])*20/(SUMPRODUCT(IF(ISNUMBER(Tabla1[Sobresaliente]),Tabla1[Sobresaliente],0)))+Tabla5[[#This Row],[TE]]+Tabla5[[#This Row],[PA]]))</f>
        <v>0</v>
      </c>
      <c r="V1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0" spans="1:22" ht="14.25" customHeight="1">
      <c r="A20" s="14">
        <v>16</v>
      </c>
      <c r="B20" s="34"/>
      <c r="C20" s="35"/>
      <c r="D20" s="14"/>
      <c r="E20" s="17"/>
      <c r="F20" s="17"/>
      <c r="G20" s="17"/>
      <c r="H20" s="17"/>
      <c r="I20" s="17"/>
      <c r="J20" s="12"/>
      <c r="K20" s="16"/>
      <c r="L20" s="76" t="str" cm="1">
        <f t="array" aca="1" ref="L2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0" s="76" t="str" cm="1">
        <f t="array" aca="1" ref="M2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0" s="76" t="str" cm="1">
        <f t="array" aca="1" ref="N2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0" s="76" t="str" cm="1">
        <f t="array" aca="1" ref="O2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0" s="76" t="str" cm="1">
        <f t="array" aca="1" ref="P2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0" s="24" t="str">
        <f>HLOOKUP(Tabla5[[#This Row],[TE]],Tabla2[],2,FALSE)</f>
        <v>Entregó el PA dentro del plazo establecido.</v>
      </c>
      <c r="R20" s="25" t="str">
        <f>HLOOKUP(Tabla5[[#This Row],[PA]],Tabla3[],2,FALSE)</f>
        <v>El trabajo presentado es original.</v>
      </c>
      <c r="S20" s="14"/>
      <c r="T20" s="15"/>
      <c r="U20" s="73" cm="1">
        <f t="array" ref="U20">IF(Tabla5[[#This Row],[PA]]=-20,0.001,IF(SUM(Tabla4[#This Row])=0,0,SUM(Tabla4[#This Row])*20/(SUMPRODUCT(IF(ISNUMBER(Tabla1[Sobresaliente]),Tabla1[Sobresaliente],0)))+Tabla5[[#This Row],[TE]]+Tabla5[[#This Row],[PA]]))</f>
        <v>0</v>
      </c>
      <c r="V2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1" spans="1:22" ht="14.25" customHeight="1">
      <c r="A21" s="14">
        <v>17</v>
      </c>
      <c r="B21" s="34"/>
      <c r="C21" s="35"/>
      <c r="D21" s="14"/>
      <c r="E21" s="17"/>
      <c r="F21" s="17"/>
      <c r="G21" s="17"/>
      <c r="H21" s="17"/>
      <c r="I21" s="17"/>
      <c r="J21" s="12"/>
      <c r="K21" s="16"/>
      <c r="L21" s="76" t="str" cm="1">
        <f t="array" aca="1" ref="L2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1" s="76" t="str" cm="1">
        <f t="array" aca="1" ref="M2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1" s="76" t="str" cm="1">
        <f t="array" aca="1" ref="N2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1" s="76" t="str" cm="1">
        <f t="array" aca="1" ref="O2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1" s="76" t="str" cm="1">
        <f t="array" aca="1" ref="P2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1" s="24" t="str">
        <f>HLOOKUP(Tabla5[[#This Row],[TE]],Tabla2[],2,FALSE)</f>
        <v>Entregó el PA dentro del plazo establecido.</v>
      </c>
      <c r="R21" s="25" t="str">
        <f>HLOOKUP(Tabla5[[#This Row],[PA]],Tabla3[],2,FALSE)</f>
        <v>El trabajo presentado es original.</v>
      </c>
      <c r="S21" s="14"/>
      <c r="T21" s="15"/>
      <c r="U21" s="73" cm="1">
        <f t="array" ref="U21">IF(Tabla5[[#This Row],[PA]]=-20,0.001,IF(SUM(Tabla4[#This Row])=0,0,SUM(Tabla4[#This Row])*20/(SUMPRODUCT(IF(ISNUMBER(Tabla1[Sobresaliente]),Tabla1[Sobresaliente],0)))+Tabla5[[#This Row],[TE]]+Tabla5[[#This Row],[PA]]))</f>
        <v>0</v>
      </c>
      <c r="V2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2" spans="1:22" ht="14.25" customHeight="1">
      <c r="A22" s="14">
        <v>18</v>
      </c>
      <c r="B22" s="34"/>
      <c r="C22" s="35"/>
      <c r="D22" s="14"/>
      <c r="E22" s="17"/>
      <c r="F22" s="17"/>
      <c r="G22" s="17"/>
      <c r="H22" s="17"/>
      <c r="I22" s="17"/>
      <c r="J22" s="12"/>
      <c r="K22" s="16"/>
      <c r="L22" s="76" t="str" cm="1">
        <f t="array" aca="1" ref="L2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2" s="76" t="str" cm="1">
        <f t="array" aca="1" ref="M2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2" s="76" t="str" cm="1">
        <f t="array" aca="1" ref="N2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2" s="76" t="str" cm="1">
        <f t="array" aca="1" ref="O2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2" s="76" t="str" cm="1">
        <f t="array" aca="1" ref="P2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2" s="24" t="str">
        <f>HLOOKUP(Tabla5[[#This Row],[TE]],Tabla2[],2,FALSE)</f>
        <v>Entregó el PA dentro del plazo establecido.</v>
      </c>
      <c r="R22" s="25" t="str">
        <f>HLOOKUP(Tabla5[[#This Row],[PA]],Tabla3[],2,FALSE)</f>
        <v>El trabajo presentado es original.</v>
      </c>
      <c r="S22" s="14"/>
      <c r="T22" s="15"/>
      <c r="U22" s="73" cm="1">
        <f t="array" ref="U22">IF(Tabla5[[#This Row],[PA]]=-20,0.001,IF(SUM(Tabla4[#This Row])=0,0,SUM(Tabla4[#This Row])*20/(SUMPRODUCT(IF(ISNUMBER(Tabla1[Sobresaliente]),Tabla1[Sobresaliente],0)))+Tabla5[[#This Row],[TE]]+Tabla5[[#This Row],[PA]]))</f>
        <v>0</v>
      </c>
      <c r="V2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3" spans="1:22" ht="14.25" customHeight="1">
      <c r="A23" s="14">
        <v>19</v>
      </c>
      <c r="B23" s="34"/>
      <c r="C23" s="35"/>
      <c r="D23" s="14"/>
      <c r="E23" s="17"/>
      <c r="F23" s="17"/>
      <c r="G23" s="17"/>
      <c r="H23" s="17"/>
      <c r="I23" s="17"/>
      <c r="J23" s="12"/>
      <c r="K23" s="16"/>
      <c r="L23" s="76" t="str" cm="1">
        <f t="array" aca="1" ref="L2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3" s="76" t="str" cm="1">
        <f t="array" aca="1" ref="M2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3" s="76" t="str" cm="1">
        <f t="array" aca="1" ref="N2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3" s="76" t="str" cm="1">
        <f t="array" aca="1" ref="O2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3" s="76" t="str" cm="1">
        <f t="array" aca="1" ref="P2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3" s="24" t="str">
        <f>HLOOKUP(Tabla5[[#This Row],[TE]],Tabla2[],2,FALSE)</f>
        <v>Entregó el PA dentro del plazo establecido.</v>
      </c>
      <c r="R23" s="25" t="str">
        <f>HLOOKUP(Tabla5[[#This Row],[PA]],Tabla3[],2,FALSE)</f>
        <v>El trabajo presentado es original.</v>
      </c>
      <c r="S23" s="14"/>
      <c r="T23" s="15"/>
      <c r="U23" s="73" cm="1">
        <f t="array" ref="U23">IF(Tabla5[[#This Row],[PA]]=-20,0.001,IF(SUM(Tabla4[#This Row])=0,0,SUM(Tabla4[#This Row])*20/(SUMPRODUCT(IF(ISNUMBER(Tabla1[Sobresaliente]),Tabla1[Sobresaliente],0)))+Tabla5[[#This Row],[TE]]+Tabla5[[#This Row],[PA]]))</f>
        <v>0</v>
      </c>
      <c r="V2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4" spans="1:22" ht="14.25" customHeight="1">
      <c r="A24" s="14">
        <v>20</v>
      </c>
      <c r="B24" s="34"/>
      <c r="C24" s="35"/>
      <c r="D24" s="14"/>
      <c r="E24" s="17"/>
      <c r="F24" s="17"/>
      <c r="G24" s="17"/>
      <c r="H24" s="17"/>
      <c r="I24" s="17"/>
      <c r="J24" s="12"/>
      <c r="K24" s="16"/>
      <c r="L24" s="76" t="str" cm="1">
        <f t="array" aca="1" ref="L2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4" s="76" t="str" cm="1">
        <f t="array" aca="1" ref="M2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4" s="76" t="str" cm="1">
        <f t="array" aca="1" ref="N2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4" s="76" t="str" cm="1">
        <f t="array" aca="1" ref="O2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4" s="76" t="str" cm="1">
        <f t="array" aca="1" ref="P2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4" s="24" t="str">
        <f>HLOOKUP(Tabla5[[#This Row],[TE]],Tabla2[],2,FALSE)</f>
        <v>Entregó el PA dentro del plazo establecido.</v>
      </c>
      <c r="R24" s="25" t="str">
        <f>HLOOKUP(Tabla5[[#This Row],[PA]],Tabla3[],2,FALSE)</f>
        <v>El trabajo presentado es original.</v>
      </c>
      <c r="S24" s="14"/>
      <c r="T24" s="15"/>
      <c r="U24" s="73" cm="1">
        <f t="array" ref="U24">IF(Tabla5[[#This Row],[PA]]=-20,0.001,IF(SUM(Tabla4[#This Row])=0,0,SUM(Tabla4[#This Row])*20/(SUMPRODUCT(IF(ISNUMBER(Tabla1[Sobresaliente]),Tabla1[Sobresaliente],0)))+Tabla5[[#This Row],[TE]]+Tabla5[[#This Row],[PA]]))</f>
        <v>0</v>
      </c>
      <c r="V24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5" spans="1:22" ht="14.25" customHeight="1">
      <c r="A25" s="14">
        <v>21</v>
      </c>
      <c r="B25" s="34"/>
      <c r="C25" s="35"/>
      <c r="D25" s="14"/>
      <c r="E25" s="17"/>
      <c r="F25" s="17"/>
      <c r="G25" s="17"/>
      <c r="H25" s="17"/>
      <c r="I25" s="17"/>
      <c r="J25" s="12"/>
      <c r="K25" s="16"/>
      <c r="L25" s="76" t="str" cm="1">
        <f t="array" aca="1" ref="L2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5" s="76" t="str" cm="1">
        <f t="array" aca="1" ref="M2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5" s="76" t="str" cm="1">
        <f t="array" aca="1" ref="N2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5" s="76" t="str" cm="1">
        <f t="array" aca="1" ref="O2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5" s="76" t="str" cm="1">
        <f t="array" aca="1" ref="P2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5" s="24" t="str">
        <f>HLOOKUP(Tabla5[[#This Row],[TE]],Tabla2[],2,FALSE)</f>
        <v>Entregó el PA dentro del plazo establecido.</v>
      </c>
      <c r="R25" s="25" t="str">
        <f>HLOOKUP(Tabla5[[#This Row],[PA]],Tabla3[],2,FALSE)</f>
        <v>El trabajo presentado es original.</v>
      </c>
      <c r="S25" s="14"/>
      <c r="T25" s="15"/>
      <c r="U25" s="73" cm="1">
        <f t="array" ref="U25">IF(Tabla5[[#This Row],[PA]]=-20,0.001,IF(SUM(Tabla4[#This Row])=0,0,SUM(Tabla4[#This Row])*20/(SUMPRODUCT(IF(ISNUMBER(Tabla1[Sobresaliente]),Tabla1[Sobresaliente],0)))+Tabla5[[#This Row],[TE]]+Tabla5[[#This Row],[PA]]))</f>
        <v>0</v>
      </c>
      <c r="V2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6" spans="1:22" ht="14.25" customHeight="1">
      <c r="A26" s="14">
        <v>22</v>
      </c>
      <c r="B26" s="34"/>
      <c r="C26" s="35"/>
      <c r="D26" s="14"/>
      <c r="E26" s="17"/>
      <c r="F26" s="17"/>
      <c r="G26" s="17"/>
      <c r="H26" s="17"/>
      <c r="I26" s="17"/>
      <c r="J26" s="12"/>
      <c r="K26" s="16"/>
      <c r="L26" s="76" t="str" cm="1">
        <f t="array" aca="1" ref="L2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6" s="76" t="str" cm="1">
        <f t="array" aca="1" ref="M2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6" s="76" t="str" cm="1">
        <f t="array" aca="1" ref="N2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6" s="76" t="str" cm="1">
        <f t="array" aca="1" ref="O2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6" s="76" t="str" cm="1">
        <f t="array" aca="1" ref="P2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6" s="24" t="str">
        <f>HLOOKUP(Tabla5[[#This Row],[TE]],Tabla2[],2,FALSE)</f>
        <v>Entregó el PA dentro del plazo establecido.</v>
      </c>
      <c r="R26" s="25" t="str">
        <f>HLOOKUP(Tabla5[[#This Row],[PA]],Tabla3[],2,FALSE)</f>
        <v>El trabajo presentado es original.</v>
      </c>
      <c r="S26" s="14"/>
      <c r="T26" s="15"/>
      <c r="U26" s="73" cm="1">
        <f t="array" ref="U26">IF(Tabla5[[#This Row],[PA]]=-20,0.001,IF(SUM(Tabla4[#This Row])=0,0,SUM(Tabla4[#This Row])*20/(SUMPRODUCT(IF(ISNUMBER(Tabla1[Sobresaliente]),Tabla1[Sobresaliente],0)))+Tabla5[[#This Row],[TE]]+Tabla5[[#This Row],[PA]]))</f>
        <v>0</v>
      </c>
      <c r="V2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7" spans="1:22" ht="14.25" customHeight="1">
      <c r="A27" s="14">
        <v>23</v>
      </c>
      <c r="B27" s="34"/>
      <c r="C27" s="35"/>
      <c r="D27" s="14"/>
      <c r="E27" s="17"/>
      <c r="F27" s="17"/>
      <c r="G27" s="17"/>
      <c r="H27" s="17"/>
      <c r="I27" s="17"/>
      <c r="J27" s="12"/>
      <c r="K27" s="16"/>
      <c r="L27" s="76" t="str" cm="1">
        <f t="array" aca="1" ref="L2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7" s="76" t="str" cm="1">
        <f t="array" aca="1" ref="M2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7" s="76" t="str" cm="1">
        <f t="array" aca="1" ref="N2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7" s="76" t="str" cm="1">
        <f t="array" aca="1" ref="O2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7" s="76" t="str" cm="1">
        <f t="array" aca="1" ref="P2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7" s="24" t="str">
        <f>HLOOKUP(Tabla5[[#This Row],[TE]],Tabla2[],2,FALSE)</f>
        <v>Entregó el PA dentro del plazo establecido.</v>
      </c>
      <c r="R27" s="25" t="str">
        <f>HLOOKUP(Tabla5[[#This Row],[PA]],Tabla3[],2,FALSE)</f>
        <v>El trabajo presentado es original.</v>
      </c>
      <c r="S27" s="14"/>
      <c r="T27" s="15"/>
      <c r="U27" s="73" cm="1">
        <f t="array" ref="U27">IF(Tabla5[[#This Row],[PA]]=-20,0.001,IF(SUM(Tabla4[#This Row])=0,0,SUM(Tabla4[#This Row])*20/(SUMPRODUCT(IF(ISNUMBER(Tabla1[Sobresaliente]),Tabla1[Sobresaliente],0)))+Tabla5[[#This Row],[TE]]+Tabla5[[#This Row],[PA]]))</f>
        <v>0</v>
      </c>
      <c r="V2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8" spans="1:22" ht="14.25" customHeight="1">
      <c r="A28" s="14">
        <v>24</v>
      </c>
      <c r="B28" s="34"/>
      <c r="C28" s="35"/>
      <c r="D28" s="14"/>
      <c r="E28" s="17"/>
      <c r="F28" s="17"/>
      <c r="G28" s="17"/>
      <c r="H28" s="17"/>
      <c r="I28" s="17"/>
      <c r="J28" s="12"/>
      <c r="K28" s="16"/>
      <c r="L28" s="76" t="str" cm="1">
        <f t="array" aca="1" ref="L2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8" s="76" t="str" cm="1">
        <f t="array" aca="1" ref="M2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8" s="76" t="str" cm="1">
        <f t="array" aca="1" ref="N2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8" s="76" t="str" cm="1">
        <f t="array" aca="1" ref="O2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8" s="76" t="str" cm="1">
        <f t="array" aca="1" ref="P2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8" s="24" t="str">
        <f>HLOOKUP(Tabla5[[#This Row],[TE]],Tabla2[],2,FALSE)</f>
        <v>Entregó el PA dentro del plazo establecido.</v>
      </c>
      <c r="R28" s="25" t="str">
        <f>HLOOKUP(Tabla5[[#This Row],[PA]],Tabla3[],2,FALSE)</f>
        <v>El trabajo presentado es original.</v>
      </c>
      <c r="S28" s="14"/>
      <c r="T28" s="15"/>
      <c r="U28" s="73" cm="1">
        <f t="array" ref="U28">IF(Tabla5[[#This Row],[PA]]=-20,0.001,IF(SUM(Tabla4[#This Row])=0,0,SUM(Tabla4[#This Row])*20/(SUMPRODUCT(IF(ISNUMBER(Tabla1[Sobresaliente]),Tabla1[Sobresaliente],0)))+Tabla5[[#This Row],[TE]]+Tabla5[[#This Row],[PA]]))</f>
        <v>0</v>
      </c>
      <c r="V2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9" spans="1:22" ht="14.25" customHeight="1">
      <c r="A29" s="14">
        <v>25</v>
      </c>
      <c r="B29" s="34"/>
      <c r="C29" s="35"/>
      <c r="D29" s="14"/>
      <c r="E29" s="17"/>
      <c r="F29" s="17"/>
      <c r="G29" s="17"/>
      <c r="H29" s="17"/>
      <c r="I29" s="17"/>
      <c r="J29" s="12"/>
      <c r="K29" s="16"/>
      <c r="L29" s="76" t="str" cm="1">
        <f t="array" aca="1" ref="L2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29" s="76" t="str" cm="1">
        <f t="array" aca="1" ref="M2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29" s="76" t="str" cm="1">
        <f t="array" aca="1" ref="N2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29" s="76" t="str" cm="1">
        <f t="array" aca="1" ref="O2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29" s="76" t="str" cm="1">
        <f t="array" aca="1" ref="P2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29" s="24" t="str">
        <f>HLOOKUP(Tabla5[[#This Row],[TE]],Tabla2[],2,FALSE)</f>
        <v>Entregó el PA dentro del plazo establecido.</v>
      </c>
      <c r="R29" s="25" t="str">
        <f>HLOOKUP(Tabla5[[#This Row],[PA]],Tabla3[],2,FALSE)</f>
        <v>El trabajo presentado es original.</v>
      </c>
      <c r="S29" s="14"/>
      <c r="T29" s="15"/>
      <c r="U29" s="73" cm="1">
        <f t="array" ref="U29">IF(Tabla5[[#This Row],[PA]]=-20,0.001,IF(SUM(Tabla4[#This Row])=0,0,SUM(Tabla4[#This Row])*20/(SUMPRODUCT(IF(ISNUMBER(Tabla1[Sobresaliente]),Tabla1[Sobresaliente],0)))+Tabla5[[#This Row],[TE]]+Tabla5[[#This Row],[PA]]))</f>
        <v>0</v>
      </c>
      <c r="V2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0" spans="1:22" ht="14.25" customHeight="1">
      <c r="A30" s="14">
        <v>26</v>
      </c>
      <c r="B30" s="34"/>
      <c r="C30" s="35"/>
      <c r="D30" s="14"/>
      <c r="E30" s="17"/>
      <c r="F30" s="17"/>
      <c r="G30" s="17"/>
      <c r="H30" s="17"/>
      <c r="I30" s="17"/>
      <c r="J30" s="12"/>
      <c r="K30" s="16"/>
      <c r="L30" s="76" t="str" cm="1">
        <f t="array" aca="1" ref="L3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0" s="76" t="str" cm="1">
        <f t="array" aca="1" ref="M3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0" s="76" t="str" cm="1">
        <f t="array" aca="1" ref="N3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0" s="76" t="str" cm="1">
        <f t="array" aca="1" ref="O3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0" s="76" t="str" cm="1">
        <f t="array" aca="1" ref="P3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0" s="24" t="str">
        <f>HLOOKUP(Tabla5[[#This Row],[TE]],Tabla2[],2,FALSE)</f>
        <v>Entregó el PA dentro del plazo establecido.</v>
      </c>
      <c r="R30" s="25" t="str">
        <f>HLOOKUP(Tabla5[[#This Row],[PA]],Tabla3[],2,FALSE)</f>
        <v>El trabajo presentado es original.</v>
      </c>
      <c r="S30" s="14"/>
      <c r="T30" s="15"/>
      <c r="U30" s="73" cm="1">
        <f t="array" ref="U30">IF(Tabla5[[#This Row],[PA]]=-20,0.001,IF(SUM(Tabla4[#This Row])=0,0,SUM(Tabla4[#This Row])*20/(SUMPRODUCT(IF(ISNUMBER(Tabla1[Sobresaliente]),Tabla1[Sobresaliente],0)))+Tabla5[[#This Row],[TE]]+Tabla5[[#This Row],[PA]]))</f>
        <v>0</v>
      </c>
      <c r="V3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1" spans="1:22" ht="14.25" customHeight="1">
      <c r="A31" s="14">
        <v>27</v>
      </c>
      <c r="B31" s="34"/>
      <c r="C31" s="35"/>
      <c r="D31" s="14"/>
      <c r="E31" s="17"/>
      <c r="F31" s="17"/>
      <c r="G31" s="17"/>
      <c r="H31" s="17"/>
      <c r="I31" s="17"/>
      <c r="J31" s="12"/>
      <c r="K31" s="16"/>
      <c r="L31" s="76" t="str" cm="1">
        <f t="array" aca="1" ref="L3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1" s="76" t="str" cm="1">
        <f t="array" aca="1" ref="M3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1" s="76" t="str" cm="1">
        <f t="array" aca="1" ref="N3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1" s="76" t="str" cm="1">
        <f t="array" aca="1" ref="O3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1" s="76" t="str" cm="1">
        <f t="array" aca="1" ref="P3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1" s="24" t="str">
        <f>HLOOKUP(Tabla5[[#This Row],[TE]],Tabla2[],2,FALSE)</f>
        <v>Entregó el PA dentro del plazo establecido.</v>
      </c>
      <c r="R31" s="25" t="str">
        <f>HLOOKUP(Tabla5[[#This Row],[PA]],Tabla3[],2,FALSE)</f>
        <v>El trabajo presentado es original.</v>
      </c>
      <c r="S31" s="14"/>
      <c r="T31" s="15"/>
      <c r="U31" s="73" cm="1">
        <f t="array" ref="U31">IF(Tabla5[[#This Row],[PA]]=-20,0.001,IF(SUM(Tabla4[#This Row])=0,0,SUM(Tabla4[#This Row])*20/(SUMPRODUCT(IF(ISNUMBER(Tabla1[Sobresaliente]),Tabla1[Sobresaliente],0)))+Tabla5[[#This Row],[TE]]+Tabla5[[#This Row],[PA]]))</f>
        <v>0</v>
      </c>
      <c r="V3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2" spans="1:22" ht="14.25" customHeight="1">
      <c r="A32" s="14">
        <v>28</v>
      </c>
      <c r="B32" s="34"/>
      <c r="C32" s="35"/>
      <c r="D32" s="14"/>
      <c r="E32" s="17"/>
      <c r="F32" s="17"/>
      <c r="G32" s="17"/>
      <c r="H32" s="17"/>
      <c r="I32" s="17"/>
      <c r="J32" s="12"/>
      <c r="K32" s="16"/>
      <c r="L32" s="76" t="str" cm="1">
        <f t="array" aca="1" ref="L3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2" s="76" t="str" cm="1">
        <f t="array" aca="1" ref="M3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2" s="76" t="str" cm="1">
        <f t="array" aca="1" ref="N3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2" s="76" t="str" cm="1">
        <f t="array" aca="1" ref="O3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2" s="76" t="str" cm="1">
        <f t="array" aca="1" ref="P3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2" s="24" t="str">
        <f>HLOOKUP(Tabla5[[#This Row],[TE]],Tabla2[],2,FALSE)</f>
        <v>Entregó el PA dentro del plazo establecido.</v>
      </c>
      <c r="R32" s="25" t="str">
        <f>HLOOKUP(Tabla5[[#This Row],[PA]],Tabla3[],2,FALSE)</f>
        <v>El trabajo presentado es original.</v>
      </c>
      <c r="S32" s="14"/>
      <c r="T32" s="15"/>
      <c r="U32" s="73" cm="1">
        <f t="array" ref="U32">IF(Tabla5[[#This Row],[PA]]=-20,0.001,IF(SUM(Tabla4[#This Row])=0,0,SUM(Tabla4[#This Row])*20/(SUMPRODUCT(IF(ISNUMBER(Tabla1[Sobresaliente]),Tabla1[Sobresaliente],0)))+Tabla5[[#This Row],[TE]]+Tabla5[[#This Row],[PA]]))</f>
        <v>0</v>
      </c>
      <c r="V3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3" spans="1:22" ht="14.25" customHeight="1">
      <c r="A33" s="14">
        <v>29</v>
      </c>
      <c r="B33" s="34"/>
      <c r="C33" s="35"/>
      <c r="D33" s="14"/>
      <c r="E33" s="17"/>
      <c r="F33" s="17"/>
      <c r="G33" s="17"/>
      <c r="H33" s="17"/>
      <c r="I33" s="17"/>
      <c r="J33" s="12"/>
      <c r="K33" s="16"/>
      <c r="L33" s="76" t="str" cm="1">
        <f t="array" aca="1" ref="L3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3" s="76" t="str" cm="1">
        <f t="array" aca="1" ref="M3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3" s="76" t="str" cm="1">
        <f t="array" aca="1" ref="N3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3" s="76" t="str" cm="1">
        <f t="array" aca="1" ref="O3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3" s="76" t="str" cm="1">
        <f t="array" aca="1" ref="P3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3" s="24" t="str">
        <f>HLOOKUP(Tabla5[[#This Row],[TE]],Tabla2[],2,FALSE)</f>
        <v>Entregó el PA dentro del plazo establecido.</v>
      </c>
      <c r="R33" s="25" t="str">
        <f>HLOOKUP(Tabla5[[#This Row],[PA]],Tabla3[],2,FALSE)</f>
        <v>El trabajo presentado es original.</v>
      </c>
      <c r="S33" s="14"/>
      <c r="T33" s="15"/>
      <c r="U33" s="73" cm="1">
        <f t="array" ref="U33">IF(Tabla5[[#This Row],[PA]]=-20,0.001,IF(SUM(Tabla4[#This Row])=0,0,SUM(Tabla4[#This Row])*20/(SUMPRODUCT(IF(ISNUMBER(Tabla1[Sobresaliente]),Tabla1[Sobresaliente],0)))+Tabla5[[#This Row],[TE]]+Tabla5[[#This Row],[PA]]))</f>
        <v>0</v>
      </c>
      <c r="V3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4" spans="1:22" ht="14.25" customHeight="1">
      <c r="A34" s="14">
        <v>30</v>
      </c>
      <c r="B34" s="34"/>
      <c r="C34" s="35"/>
      <c r="D34" s="14"/>
      <c r="E34" s="17"/>
      <c r="F34" s="17"/>
      <c r="G34" s="17"/>
      <c r="H34" s="17"/>
      <c r="I34" s="17"/>
      <c r="J34" s="12"/>
      <c r="K34" s="16"/>
      <c r="L34" s="76" t="str" cm="1">
        <f t="array" aca="1" ref="L3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4" s="76" t="str" cm="1">
        <f t="array" aca="1" ref="M3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4" s="76" t="str" cm="1">
        <f t="array" aca="1" ref="N3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4" s="76" t="str" cm="1">
        <f t="array" aca="1" ref="O3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4" s="76" t="str" cm="1">
        <f t="array" aca="1" ref="P3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4" s="24" t="str">
        <f>HLOOKUP(Tabla5[[#This Row],[TE]],Tabla2[],2,FALSE)</f>
        <v>Entregó el PA dentro del plazo establecido.</v>
      </c>
      <c r="R34" s="25" t="str">
        <f>HLOOKUP(Tabla5[[#This Row],[PA]],Tabla3[],2,FALSE)</f>
        <v>El trabajo presentado es original.</v>
      </c>
      <c r="S34" s="14"/>
      <c r="T34" s="15"/>
      <c r="U34" s="73" cm="1">
        <f t="array" ref="U34">IF(Tabla5[[#This Row],[PA]]=-20,0.001,IF(SUM(Tabla4[#This Row])=0,0,SUM(Tabla4[#This Row])*20/(SUMPRODUCT(IF(ISNUMBER(Tabla1[Sobresaliente]),Tabla1[Sobresaliente],0)))+Tabla5[[#This Row],[TE]]+Tabla5[[#This Row],[PA]]))</f>
        <v>0</v>
      </c>
      <c r="V34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5" spans="1:22" ht="14.25" customHeight="1">
      <c r="A35" s="14">
        <v>31</v>
      </c>
      <c r="B35" s="34"/>
      <c r="C35" s="35"/>
      <c r="D35" s="14"/>
      <c r="E35" s="17"/>
      <c r="F35" s="17"/>
      <c r="G35" s="17"/>
      <c r="H35" s="17"/>
      <c r="I35" s="17"/>
      <c r="J35" s="12"/>
      <c r="K35" s="16"/>
      <c r="L35" s="76" t="str" cm="1">
        <f t="array" aca="1" ref="L3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5" s="76" t="str" cm="1">
        <f t="array" aca="1" ref="M3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5" s="76" t="str" cm="1">
        <f t="array" aca="1" ref="N3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5" s="76" t="str" cm="1">
        <f t="array" aca="1" ref="O3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5" s="76" t="str" cm="1">
        <f t="array" aca="1" ref="P3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5" s="24" t="str">
        <f>HLOOKUP(Tabla5[[#This Row],[TE]],Tabla2[],2,FALSE)</f>
        <v>Entregó el PA dentro del plazo establecido.</v>
      </c>
      <c r="R35" s="25" t="str">
        <f>HLOOKUP(Tabla5[[#This Row],[PA]],Tabla3[],2,FALSE)</f>
        <v>El trabajo presentado es original.</v>
      </c>
      <c r="S35" s="14"/>
      <c r="T35" s="15"/>
      <c r="U35" s="73" cm="1">
        <f t="array" ref="U35">IF(Tabla5[[#This Row],[PA]]=-20,0.001,IF(SUM(Tabla4[#This Row])=0,0,SUM(Tabla4[#This Row])*20/(SUMPRODUCT(IF(ISNUMBER(Tabla1[Sobresaliente]),Tabla1[Sobresaliente],0)))+Tabla5[[#This Row],[TE]]+Tabla5[[#This Row],[PA]]))</f>
        <v>0</v>
      </c>
      <c r="V3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6" spans="1:22" ht="14.25" customHeight="1">
      <c r="A36" s="14">
        <v>32</v>
      </c>
      <c r="B36" s="34"/>
      <c r="C36" s="35"/>
      <c r="D36" s="14"/>
      <c r="E36" s="17"/>
      <c r="F36" s="17"/>
      <c r="G36" s="17"/>
      <c r="H36" s="17"/>
      <c r="I36" s="17"/>
      <c r="J36" s="12"/>
      <c r="K36" s="16"/>
      <c r="L36" s="76" t="str" cm="1">
        <f t="array" aca="1" ref="L3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6" s="76" t="str" cm="1">
        <f t="array" aca="1" ref="M3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6" s="76" t="str" cm="1">
        <f t="array" aca="1" ref="N3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6" s="76" t="str" cm="1">
        <f t="array" aca="1" ref="O3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6" s="76" t="str" cm="1">
        <f t="array" aca="1" ref="P3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6" s="24" t="str">
        <f>HLOOKUP(Tabla5[[#This Row],[TE]],Tabla2[],2,FALSE)</f>
        <v>Entregó el PA dentro del plazo establecido.</v>
      </c>
      <c r="R36" s="25" t="str">
        <f>HLOOKUP(Tabla5[[#This Row],[PA]],Tabla3[],2,FALSE)</f>
        <v>El trabajo presentado es original.</v>
      </c>
      <c r="S36" s="14"/>
      <c r="T36" s="15"/>
      <c r="U36" s="73" cm="1">
        <f t="array" ref="U36">IF(Tabla5[[#This Row],[PA]]=-20,0.001,IF(SUM(Tabla4[#This Row])=0,0,SUM(Tabla4[#This Row])*20/(SUMPRODUCT(IF(ISNUMBER(Tabla1[Sobresaliente]),Tabla1[Sobresaliente],0)))+Tabla5[[#This Row],[TE]]+Tabla5[[#This Row],[PA]]))</f>
        <v>0</v>
      </c>
      <c r="V3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7" spans="1:22" ht="14.25" customHeight="1">
      <c r="A37" s="14">
        <v>33</v>
      </c>
      <c r="B37" s="34"/>
      <c r="C37" s="35"/>
      <c r="D37" s="14"/>
      <c r="E37" s="17"/>
      <c r="F37" s="17"/>
      <c r="G37" s="17"/>
      <c r="H37" s="17"/>
      <c r="I37" s="17"/>
      <c r="J37" s="12"/>
      <c r="K37" s="16"/>
      <c r="L37" s="76" t="str" cm="1">
        <f t="array" aca="1" ref="L3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7" s="76" t="str" cm="1">
        <f t="array" aca="1" ref="M3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7" s="76" t="str" cm="1">
        <f t="array" aca="1" ref="N3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7" s="76" t="str" cm="1">
        <f t="array" aca="1" ref="O3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7" s="76" t="str" cm="1">
        <f t="array" aca="1" ref="P3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7" s="24" t="str">
        <f>HLOOKUP(Tabla5[[#This Row],[TE]],Tabla2[],2,FALSE)</f>
        <v>Entregó el PA dentro del plazo establecido.</v>
      </c>
      <c r="R37" s="25" t="str">
        <f>HLOOKUP(Tabla5[[#This Row],[PA]],Tabla3[],2,FALSE)</f>
        <v>El trabajo presentado es original.</v>
      </c>
      <c r="S37" s="14"/>
      <c r="T37" s="15"/>
      <c r="U37" s="73" cm="1">
        <f t="array" ref="U37">IF(Tabla5[[#This Row],[PA]]=-20,0.001,IF(SUM(Tabla4[#This Row])=0,0,SUM(Tabla4[#This Row])*20/(SUMPRODUCT(IF(ISNUMBER(Tabla1[Sobresaliente]),Tabla1[Sobresaliente],0)))+Tabla5[[#This Row],[TE]]+Tabla5[[#This Row],[PA]]))</f>
        <v>0</v>
      </c>
      <c r="V3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8" spans="1:22" ht="14.25" customHeight="1">
      <c r="A38" s="14">
        <v>34</v>
      </c>
      <c r="B38" s="34"/>
      <c r="C38" s="35"/>
      <c r="D38" s="14"/>
      <c r="E38" s="17"/>
      <c r="F38" s="17"/>
      <c r="G38" s="17"/>
      <c r="H38" s="17"/>
      <c r="I38" s="17"/>
      <c r="J38" s="12"/>
      <c r="K38" s="16"/>
      <c r="L38" s="76" t="str" cm="1">
        <f t="array" aca="1" ref="L3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8" s="76" t="str" cm="1">
        <f t="array" aca="1" ref="M3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8" s="76" t="str" cm="1">
        <f t="array" aca="1" ref="N3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8" s="76" t="str" cm="1">
        <f t="array" aca="1" ref="O3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8" s="76" t="str" cm="1">
        <f t="array" aca="1" ref="P3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8" s="24" t="str">
        <f>HLOOKUP(Tabla5[[#This Row],[TE]],Tabla2[],2,FALSE)</f>
        <v>Entregó el PA dentro del plazo establecido.</v>
      </c>
      <c r="R38" s="25" t="str">
        <f>HLOOKUP(Tabla5[[#This Row],[PA]],Tabla3[],2,FALSE)</f>
        <v>El trabajo presentado es original.</v>
      </c>
      <c r="S38" s="14"/>
      <c r="T38" s="15"/>
      <c r="U38" s="73" cm="1">
        <f t="array" ref="U38">IF(Tabla5[[#This Row],[PA]]=-20,0.001,IF(SUM(Tabla4[#This Row])=0,0,SUM(Tabla4[#This Row])*20/(SUMPRODUCT(IF(ISNUMBER(Tabla1[Sobresaliente]),Tabla1[Sobresaliente],0)))+Tabla5[[#This Row],[TE]]+Tabla5[[#This Row],[PA]]))</f>
        <v>0</v>
      </c>
      <c r="V3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9" spans="1:22" ht="14.25" customHeight="1">
      <c r="A39" s="14">
        <v>35</v>
      </c>
      <c r="B39" s="34"/>
      <c r="C39" s="35"/>
      <c r="D39" s="14"/>
      <c r="E39" s="17"/>
      <c r="F39" s="17"/>
      <c r="G39" s="17"/>
      <c r="H39" s="17"/>
      <c r="I39" s="17"/>
      <c r="J39" s="12"/>
      <c r="K39" s="16"/>
      <c r="L39" s="76" t="str" cm="1">
        <f t="array" aca="1" ref="L3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39" s="76" t="str" cm="1">
        <f t="array" aca="1" ref="M3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39" s="76" t="str" cm="1">
        <f t="array" aca="1" ref="N3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39" s="76" t="str" cm="1">
        <f t="array" aca="1" ref="O3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39" s="76" t="str" cm="1">
        <f t="array" aca="1" ref="P3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39" s="24" t="str">
        <f>HLOOKUP(Tabla5[[#This Row],[TE]],Tabla2[],2,FALSE)</f>
        <v>Entregó el PA dentro del plazo establecido.</v>
      </c>
      <c r="R39" s="25" t="str">
        <f>HLOOKUP(Tabla5[[#This Row],[PA]],Tabla3[],2,FALSE)</f>
        <v>El trabajo presentado es original.</v>
      </c>
      <c r="S39" s="14"/>
      <c r="T39" s="15"/>
      <c r="U39" s="73" cm="1">
        <f t="array" ref="U39">IF(Tabla5[[#This Row],[PA]]=-20,0.001,IF(SUM(Tabla4[#This Row])=0,0,SUM(Tabla4[#This Row])*20/(SUMPRODUCT(IF(ISNUMBER(Tabla1[Sobresaliente]),Tabla1[Sobresaliente],0)))+Tabla5[[#This Row],[TE]]+Tabla5[[#This Row],[PA]]))</f>
        <v>0</v>
      </c>
      <c r="V3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0" spans="1:22" ht="14.25" customHeight="1">
      <c r="A40" s="14">
        <v>36</v>
      </c>
      <c r="B40" s="34"/>
      <c r="C40" s="35"/>
      <c r="D40" s="14"/>
      <c r="E40" s="17"/>
      <c r="F40" s="17"/>
      <c r="G40" s="17"/>
      <c r="H40" s="17"/>
      <c r="I40" s="17"/>
      <c r="J40" s="12"/>
      <c r="K40" s="16"/>
      <c r="L40" s="76" t="str" cm="1">
        <f t="array" aca="1" ref="L4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0" s="76" t="str" cm="1">
        <f t="array" aca="1" ref="M4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0" s="76" t="str" cm="1">
        <f t="array" aca="1" ref="N4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0" s="76" t="str" cm="1">
        <f t="array" aca="1" ref="O4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0" s="76" t="str" cm="1">
        <f t="array" aca="1" ref="P4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0" s="24" t="str">
        <f>HLOOKUP(Tabla5[[#This Row],[TE]],Tabla2[],2,FALSE)</f>
        <v>Entregó el PA dentro del plazo establecido.</v>
      </c>
      <c r="R40" s="25" t="str">
        <f>HLOOKUP(Tabla5[[#This Row],[PA]],Tabla3[],2,FALSE)</f>
        <v>El trabajo presentado es original.</v>
      </c>
      <c r="S40" s="14"/>
      <c r="T40" s="15"/>
      <c r="U40" s="73" cm="1">
        <f t="array" ref="U40">IF(Tabla5[[#This Row],[PA]]=-20,0.001,IF(SUM(Tabla4[#This Row])=0,0,SUM(Tabla4[#This Row])*20/(SUMPRODUCT(IF(ISNUMBER(Tabla1[Sobresaliente]),Tabla1[Sobresaliente],0)))+Tabla5[[#This Row],[TE]]+Tabla5[[#This Row],[PA]]))</f>
        <v>0</v>
      </c>
      <c r="V4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1" spans="1:22" ht="14.25" customHeight="1">
      <c r="A41" s="14">
        <v>37</v>
      </c>
      <c r="B41" s="34"/>
      <c r="C41" s="35"/>
      <c r="D41" s="14"/>
      <c r="E41" s="17"/>
      <c r="F41" s="17"/>
      <c r="G41" s="17"/>
      <c r="H41" s="17"/>
      <c r="I41" s="17"/>
      <c r="J41" s="12"/>
      <c r="K41" s="16"/>
      <c r="L41" s="76" t="str" cm="1">
        <f t="array" aca="1" ref="L4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1" s="76" t="str" cm="1">
        <f t="array" aca="1" ref="M4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1" s="76" t="str" cm="1">
        <f t="array" aca="1" ref="N4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1" s="76" t="str" cm="1">
        <f t="array" aca="1" ref="O4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1" s="76" t="str" cm="1">
        <f t="array" aca="1" ref="P4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1" s="24" t="str">
        <f>HLOOKUP(Tabla5[[#This Row],[TE]],Tabla2[],2,FALSE)</f>
        <v>Entregó el PA dentro del plazo establecido.</v>
      </c>
      <c r="R41" s="25" t="str">
        <f>HLOOKUP(Tabla5[[#This Row],[PA]],Tabla3[],2,FALSE)</f>
        <v>El trabajo presentado es original.</v>
      </c>
      <c r="S41" s="14"/>
      <c r="T41" s="15"/>
      <c r="U41" s="73" cm="1">
        <f t="array" ref="U41">IF(Tabla5[[#This Row],[PA]]=-20,0.001,IF(SUM(Tabla4[#This Row])=0,0,SUM(Tabla4[#This Row])*20/(SUMPRODUCT(IF(ISNUMBER(Tabla1[Sobresaliente]),Tabla1[Sobresaliente],0)))+Tabla5[[#This Row],[TE]]+Tabla5[[#This Row],[PA]]))</f>
        <v>0</v>
      </c>
      <c r="V4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2" spans="1:22" ht="14.25" customHeight="1">
      <c r="A42" s="14">
        <v>38</v>
      </c>
      <c r="B42" s="34"/>
      <c r="C42" s="35"/>
      <c r="D42" s="14"/>
      <c r="E42" s="17"/>
      <c r="F42" s="17"/>
      <c r="G42" s="17"/>
      <c r="H42" s="17"/>
      <c r="I42" s="17"/>
      <c r="J42" s="12"/>
      <c r="K42" s="16"/>
      <c r="L42" s="76" t="str" cm="1">
        <f t="array" aca="1" ref="L4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2" s="76" t="str" cm="1">
        <f t="array" aca="1" ref="M4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2" s="76" t="str" cm="1">
        <f t="array" aca="1" ref="N4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2" s="76" t="str" cm="1">
        <f t="array" aca="1" ref="O4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2" s="76" t="str" cm="1">
        <f t="array" aca="1" ref="P4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2" s="24" t="str">
        <f>HLOOKUP(Tabla5[[#This Row],[TE]],Tabla2[],2,FALSE)</f>
        <v>Entregó el PA dentro del plazo establecido.</v>
      </c>
      <c r="R42" s="25" t="str">
        <f>HLOOKUP(Tabla5[[#This Row],[PA]],Tabla3[],2,FALSE)</f>
        <v>El trabajo presentado es original.</v>
      </c>
      <c r="S42" s="14"/>
      <c r="T42" s="15"/>
      <c r="U42" s="73" cm="1">
        <f t="array" ref="U42">IF(Tabla5[[#This Row],[PA]]=-20,0.001,IF(SUM(Tabla4[#This Row])=0,0,SUM(Tabla4[#This Row])*20/(SUMPRODUCT(IF(ISNUMBER(Tabla1[Sobresaliente]),Tabla1[Sobresaliente],0)))+Tabla5[[#This Row],[TE]]+Tabla5[[#This Row],[PA]]))</f>
        <v>0</v>
      </c>
      <c r="V4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3" spans="1:22" ht="14.25" customHeight="1">
      <c r="A43" s="14">
        <v>39</v>
      </c>
      <c r="B43" s="34"/>
      <c r="C43" s="35"/>
      <c r="D43" s="14"/>
      <c r="E43" s="17"/>
      <c r="F43" s="17"/>
      <c r="G43" s="17"/>
      <c r="H43" s="17"/>
      <c r="I43" s="17"/>
      <c r="J43" s="12"/>
      <c r="K43" s="16"/>
      <c r="L43" s="76" t="str" cm="1">
        <f t="array" aca="1" ref="L4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3" s="76" t="str" cm="1">
        <f t="array" aca="1" ref="M4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3" s="76" t="str" cm="1">
        <f t="array" aca="1" ref="N4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3" s="76" t="str" cm="1">
        <f t="array" aca="1" ref="O4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3" s="76" t="str" cm="1">
        <f t="array" aca="1" ref="P4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3" s="24" t="str">
        <f>HLOOKUP(Tabla5[[#This Row],[TE]],Tabla2[],2,FALSE)</f>
        <v>Entregó el PA dentro del plazo establecido.</v>
      </c>
      <c r="R43" s="25" t="str">
        <f>HLOOKUP(Tabla5[[#This Row],[PA]],Tabla3[],2,FALSE)</f>
        <v>El trabajo presentado es original.</v>
      </c>
      <c r="S43" s="14"/>
      <c r="T43" s="15"/>
      <c r="U43" s="73" cm="1">
        <f t="array" ref="U43">IF(Tabla5[[#This Row],[PA]]=-20,0.001,IF(SUM(Tabla4[#This Row])=0,0,SUM(Tabla4[#This Row])*20/(SUMPRODUCT(IF(ISNUMBER(Tabla1[Sobresaliente]),Tabla1[Sobresaliente],0)))+Tabla5[[#This Row],[TE]]+Tabla5[[#This Row],[PA]]))</f>
        <v>0</v>
      </c>
      <c r="V4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4" spans="1:22" ht="14.25" customHeight="1">
      <c r="A44" s="14">
        <v>40</v>
      </c>
      <c r="B44" s="34"/>
      <c r="C44" s="35"/>
      <c r="D44" s="14"/>
      <c r="E44" s="17"/>
      <c r="F44" s="17"/>
      <c r="G44" s="17"/>
      <c r="H44" s="17"/>
      <c r="I44" s="17"/>
      <c r="J44" s="12"/>
      <c r="K44" s="16"/>
      <c r="L44" s="76" t="str" cm="1">
        <f t="array" aca="1" ref="L4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4" s="76" t="str" cm="1">
        <f t="array" aca="1" ref="M4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4" s="76" t="str" cm="1">
        <f t="array" aca="1" ref="N4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4" s="76" t="str" cm="1">
        <f t="array" aca="1" ref="O4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4" s="76" t="str" cm="1">
        <f t="array" aca="1" ref="P4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4" s="24" t="str">
        <f>HLOOKUP(Tabla5[[#This Row],[TE]],Tabla2[],2,FALSE)</f>
        <v>Entregó el PA dentro del plazo establecido.</v>
      </c>
      <c r="R44" s="25" t="str">
        <f>HLOOKUP(Tabla5[[#This Row],[PA]],Tabla3[],2,FALSE)</f>
        <v>El trabajo presentado es original.</v>
      </c>
      <c r="S44" s="14"/>
      <c r="T44" s="15"/>
      <c r="U44" s="73" cm="1">
        <f t="array" ref="U44">IF(Tabla5[[#This Row],[PA]]=-20,0.001,IF(SUM(Tabla4[#This Row])=0,0,SUM(Tabla4[#This Row])*20/(SUMPRODUCT(IF(ISNUMBER(Tabla1[Sobresaliente]),Tabla1[Sobresaliente],0)))+Tabla5[[#This Row],[TE]]+Tabla5[[#This Row],[PA]]))</f>
        <v>0</v>
      </c>
      <c r="V44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5" spans="1:22" ht="14.25" customHeight="1">
      <c r="A45" s="14">
        <v>41</v>
      </c>
      <c r="B45" s="34"/>
      <c r="C45" s="35"/>
      <c r="D45" s="14"/>
      <c r="E45" s="17"/>
      <c r="F45" s="17"/>
      <c r="G45" s="17"/>
      <c r="H45" s="17"/>
      <c r="I45" s="17"/>
      <c r="J45" s="12"/>
      <c r="K45" s="16"/>
      <c r="L45" s="76" t="str" cm="1">
        <f t="array" aca="1" ref="L4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5" s="76" t="str" cm="1">
        <f t="array" aca="1" ref="M4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5" s="76" t="str" cm="1">
        <f t="array" aca="1" ref="N4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5" s="76" t="str" cm="1">
        <f t="array" aca="1" ref="O4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5" s="76" t="str" cm="1">
        <f t="array" aca="1" ref="P4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5" s="24" t="str">
        <f>HLOOKUP(Tabla5[[#This Row],[TE]],Tabla2[],2,FALSE)</f>
        <v>Entregó el PA dentro del plazo establecido.</v>
      </c>
      <c r="R45" s="25" t="str">
        <f>HLOOKUP(Tabla5[[#This Row],[PA]],Tabla3[],2,FALSE)</f>
        <v>El trabajo presentado es original.</v>
      </c>
      <c r="S45" s="14"/>
      <c r="T45" s="15"/>
      <c r="U45" s="73" cm="1">
        <f t="array" ref="U45">IF(Tabla5[[#This Row],[PA]]=-20,0.001,IF(SUM(Tabla4[#This Row])=0,0,SUM(Tabla4[#This Row])*20/(SUMPRODUCT(IF(ISNUMBER(Tabla1[Sobresaliente]),Tabla1[Sobresaliente],0)))+Tabla5[[#This Row],[TE]]+Tabla5[[#This Row],[PA]]))</f>
        <v>0</v>
      </c>
      <c r="V4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6" spans="1:22" ht="14.25" customHeight="1">
      <c r="A46" s="14">
        <v>42</v>
      </c>
      <c r="B46" s="34"/>
      <c r="C46" s="35"/>
      <c r="D46" s="14"/>
      <c r="E46" s="17"/>
      <c r="F46" s="17"/>
      <c r="G46" s="17"/>
      <c r="H46" s="17"/>
      <c r="I46" s="17"/>
      <c r="J46" s="12"/>
      <c r="K46" s="16"/>
      <c r="L46" s="76" t="str" cm="1">
        <f t="array" aca="1" ref="L4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6" s="76" t="str" cm="1">
        <f t="array" aca="1" ref="M4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6" s="76" t="str" cm="1">
        <f t="array" aca="1" ref="N4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6" s="76" t="str" cm="1">
        <f t="array" aca="1" ref="O4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6" s="76" t="str" cm="1">
        <f t="array" aca="1" ref="P4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6" s="24" t="str">
        <f>HLOOKUP(Tabla5[[#This Row],[TE]],Tabla2[],2,FALSE)</f>
        <v>Entregó el PA dentro del plazo establecido.</v>
      </c>
      <c r="R46" s="25" t="str">
        <f>HLOOKUP(Tabla5[[#This Row],[PA]],Tabla3[],2,FALSE)</f>
        <v>El trabajo presentado es original.</v>
      </c>
      <c r="S46" s="14"/>
      <c r="T46" s="15"/>
      <c r="U46" s="73" cm="1">
        <f t="array" ref="U46">IF(Tabla5[[#This Row],[PA]]=-20,0.001,IF(SUM(Tabla4[#This Row])=0,0,SUM(Tabla4[#This Row])*20/(SUMPRODUCT(IF(ISNUMBER(Tabla1[Sobresaliente]),Tabla1[Sobresaliente],0)))+Tabla5[[#This Row],[TE]]+Tabla5[[#This Row],[PA]]))</f>
        <v>0</v>
      </c>
      <c r="V4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7" spans="1:22" ht="14.25" customHeight="1">
      <c r="A47" s="14">
        <v>43</v>
      </c>
      <c r="B47" s="34"/>
      <c r="C47" s="35"/>
      <c r="D47" s="14"/>
      <c r="E47" s="17"/>
      <c r="F47" s="17"/>
      <c r="G47" s="17"/>
      <c r="H47" s="17"/>
      <c r="I47" s="17"/>
      <c r="J47" s="12"/>
      <c r="K47" s="16"/>
      <c r="L47" s="76" t="str" cm="1">
        <f t="array" aca="1" ref="L4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7" s="76" t="str" cm="1">
        <f t="array" aca="1" ref="M4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7" s="76" t="str" cm="1">
        <f t="array" aca="1" ref="N4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7" s="76" t="str" cm="1">
        <f t="array" aca="1" ref="O4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7" s="76" t="str" cm="1">
        <f t="array" aca="1" ref="P4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7" s="24" t="str">
        <f>HLOOKUP(Tabla5[[#This Row],[TE]],Tabla2[],2,FALSE)</f>
        <v>Entregó el PA dentro del plazo establecido.</v>
      </c>
      <c r="R47" s="25" t="str">
        <f>HLOOKUP(Tabla5[[#This Row],[PA]],Tabla3[],2,FALSE)</f>
        <v>El trabajo presentado es original.</v>
      </c>
      <c r="S47" s="14"/>
      <c r="T47" s="15"/>
      <c r="U47" s="73" cm="1">
        <f t="array" ref="U47">IF(Tabla5[[#This Row],[PA]]=-20,0.001,IF(SUM(Tabla4[#This Row])=0,0,SUM(Tabla4[#This Row])*20/(SUMPRODUCT(IF(ISNUMBER(Tabla1[Sobresaliente]),Tabla1[Sobresaliente],0)))+Tabla5[[#This Row],[TE]]+Tabla5[[#This Row],[PA]]))</f>
        <v>0</v>
      </c>
      <c r="V4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8" spans="1:22" ht="14.25" customHeight="1">
      <c r="A48" s="14">
        <v>44</v>
      </c>
      <c r="B48" s="34"/>
      <c r="C48" s="35"/>
      <c r="D48" s="14"/>
      <c r="E48" s="17"/>
      <c r="F48" s="17"/>
      <c r="G48" s="17"/>
      <c r="H48" s="17"/>
      <c r="I48" s="17"/>
      <c r="J48" s="12"/>
      <c r="K48" s="16"/>
      <c r="L48" s="76" t="str" cm="1">
        <f t="array" aca="1" ref="L4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8" s="76" t="str" cm="1">
        <f t="array" aca="1" ref="M4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8" s="76" t="str" cm="1">
        <f t="array" aca="1" ref="N4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8" s="76" t="str" cm="1">
        <f t="array" aca="1" ref="O4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8" s="76" t="str" cm="1">
        <f t="array" aca="1" ref="P4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8" s="24" t="str">
        <f>HLOOKUP(Tabla5[[#This Row],[TE]],Tabla2[],2,FALSE)</f>
        <v>Entregó el PA dentro del plazo establecido.</v>
      </c>
      <c r="R48" s="25" t="str">
        <f>HLOOKUP(Tabla5[[#This Row],[PA]],Tabla3[],2,FALSE)</f>
        <v>El trabajo presentado es original.</v>
      </c>
      <c r="S48" s="14"/>
      <c r="T48" s="15"/>
      <c r="U48" s="73" cm="1">
        <f t="array" ref="U48">IF(Tabla5[[#This Row],[PA]]=-20,0.001,IF(SUM(Tabla4[#This Row])=0,0,SUM(Tabla4[#This Row])*20/(SUMPRODUCT(IF(ISNUMBER(Tabla1[Sobresaliente]),Tabla1[Sobresaliente],0)))+Tabla5[[#This Row],[TE]]+Tabla5[[#This Row],[PA]]))</f>
        <v>0</v>
      </c>
      <c r="V4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9" spans="1:22" ht="14.25" customHeight="1">
      <c r="A49" s="14">
        <v>45</v>
      </c>
      <c r="B49" s="34"/>
      <c r="C49" s="35"/>
      <c r="D49" s="14"/>
      <c r="E49" s="17"/>
      <c r="F49" s="17"/>
      <c r="G49" s="17"/>
      <c r="H49" s="17"/>
      <c r="I49" s="17"/>
      <c r="J49" s="12"/>
      <c r="K49" s="16"/>
      <c r="L49" s="76" t="str" cm="1">
        <f t="array" aca="1" ref="L4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49" s="76" t="str" cm="1">
        <f t="array" aca="1" ref="M4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49" s="76" t="str" cm="1">
        <f t="array" aca="1" ref="N4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49" s="76" t="str" cm="1">
        <f t="array" aca="1" ref="O4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49" s="76" t="str" cm="1">
        <f t="array" aca="1" ref="P4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49" s="24" t="str">
        <f>HLOOKUP(Tabla5[[#This Row],[TE]],Tabla2[],2,FALSE)</f>
        <v>Entregó el PA dentro del plazo establecido.</v>
      </c>
      <c r="R49" s="25" t="str">
        <f>HLOOKUP(Tabla5[[#This Row],[PA]],Tabla3[],2,FALSE)</f>
        <v>El trabajo presentado es original.</v>
      </c>
      <c r="S49" s="14"/>
      <c r="T49" s="15"/>
      <c r="U49" s="73" cm="1">
        <f t="array" ref="U49">IF(Tabla5[[#This Row],[PA]]=-20,0.001,IF(SUM(Tabla4[#This Row])=0,0,SUM(Tabla4[#This Row])*20/(SUMPRODUCT(IF(ISNUMBER(Tabla1[Sobresaliente]),Tabla1[Sobresaliente],0)))+Tabla5[[#This Row],[TE]]+Tabla5[[#This Row],[PA]]))</f>
        <v>0</v>
      </c>
      <c r="V4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0" spans="1:22" ht="14.25" customHeight="1">
      <c r="A50" s="14">
        <v>46</v>
      </c>
      <c r="B50" s="18"/>
      <c r="C50" s="14"/>
      <c r="D50" s="14"/>
      <c r="E50" s="17"/>
      <c r="F50" s="17"/>
      <c r="G50" s="17"/>
      <c r="H50" s="17"/>
      <c r="I50" s="17"/>
      <c r="J50" s="12"/>
      <c r="K50" s="16"/>
      <c r="L50" s="76" t="str" cm="1">
        <f t="array" aca="1" ref="L5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0" s="76" t="str" cm="1">
        <f t="array" aca="1" ref="M5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0" s="76" t="str" cm="1">
        <f t="array" aca="1" ref="N5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0" s="76" t="str" cm="1">
        <f t="array" aca="1" ref="O5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0" s="76" t="str" cm="1">
        <f t="array" aca="1" ref="P5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0" s="24" t="str">
        <f>HLOOKUP(Tabla5[[#This Row],[TE]],Tabla2[],2,FALSE)</f>
        <v>Entregó el PA dentro del plazo establecido.</v>
      </c>
      <c r="R50" s="25" t="str">
        <f>HLOOKUP(Tabla5[[#This Row],[PA]],Tabla3[],2,FALSE)</f>
        <v>El trabajo presentado es original.</v>
      </c>
      <c r="S50" s="14"/>
      <c r="T50" s="15"/>
      <c r="U50" s="73" cm="1">
        <f t="array" ref="U50">IF(Tabla5[[#This Row],[PA]]=-20,0.001,IF(SUM(Tabla4[#This Row])=0,0,SUM(Tabla4[#This Row])*20/(SUMPRODUCT(IF(ISNUMBER(Tabla1[Sobresaliente]),Tabla1[Sobresaliente],0)))+Tabla5[[#This Row],[TE]]+Tabla5[[#This Row],[PA]]))</f>
        <v>0</v>
      </c>
      <c r="V5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1" spans="1:22" ht="14.25" customHeight="1">
      <c r="A51" s="14">
        <v>47</v>
      </c>
      <c r="B51" s="18"/>
      <c r="C51" s="14"/>
      <c r="D51" s="14"/>
      <c r="E51" s="17"/>
      <c r="F51" s="17"/>
      <c r="G51" s="17"/>
      <c r="H51" s="17"/>
      <c r="I51" s="17"/>
      <c r="J51" s="12"/>
      <c r="K51" s="16"/>
      <c r="L51" s="76" t="str" cm="1">
        <f t="array" aca="1" ref="L5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1" s="76" t="str" cm="1">
        <f t="array" aca="1" ref="M5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1" s="76" t="str" cm="1">
        <f t="array" aca="1" ref="N5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1" s="76" t="str" cm="1">
        <f t="array" aca="1" ref="O5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1" s="76" t="str" cm="1">
        <f t="array" aca="1" ref="P5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1" s="24" t="str">
        <f>HLOOKUP(Tabla5[[#This Row],[TE]],Tabla2[],2,FALSE)</f>
        <v>Entregó el PA dentro del plazo establecido.</v>
      </c>
      <c r="R51" s="25" t="str">
        <f>HLOOKUP(Tabla5[[#This Row],[PA]],Tabla3[],2,FALSE)</f>
        <v>El trabajo presentado es original.</v>
      </c>
      <c r="S51" s="14"/>
      <c r="T51" s="15"/>
      <c r="U51" s="73" cm="1">
        <f t="array" ref="U51">IF(Tabla5[[#This Row],[PA]]=-20,0.001,IF(SUM(Tabla4[#This Row])=0,0,SUM(Tabla4[#This Row])*20/(SUMPRODUCT(IF(ISNUMBER(Tabla1[Sobresaliente]),Tabla1[Sobresaliente],0)))+Tabla5[[#This Row],[TE]]+Tabla5[[#This Row],[PA]]))</f>
        <v>0</v>
      </c>
      <c r="V5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2" spans="1:22" ht="14.25" customHeight="1">
      <c r="A52" s="14">
        <v>48</v>
      </c>
      <c r="B52" s="18"/>
      <c r="C52" s="14"/>
      <c r="D52" s="14"/>
      <c r="E52" s="17"/>
      <c r="F52" s="17"/>
      <c r="G52" s="17"/>
      <c r="H52" s="17"/>
      <c r="I52" s="17"/>
      <c r="J52" s="12"/>
      <c r="K52" s="16"/>
      <c r="L52" s="76" t="str" cm="1">
        <f t="array" aca="1" ref="L5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2" s="76" t="str" cm="1">
        <f t="array" aca="1" ref="M5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2" s="76" t="str" cm="1">
        <f t="array" aca="1" ref="N5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2" s="76" t="str" cm="1">
        <f t="array" aca="1" ref="O5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2" s="76" t="str" cm="1">
        <f t="array" aca="1" ref="P5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2" s="24" t="str">
        <f>HLOOKUP(Tabla5[[#This Row],[TE]],Tabla2[],2,FALSE)</f>
        <v>Entregó el PA dentro del plazo establecido.</v>
      </c>
      <c r="R52" s="25" t="str">
        <f>HLOOKUP(Tabla5[[#This Row],[PA]],Tabla3[],2,FALSE)</f>
        <v>El trabajo presentado es original.</v>
      </c>
      <c r="S52" s="14"/>
      <c r="T52" s="15"/>
      <c r="U52" s="73" cm="1">
        <f t="array" ref="U52">IF(Tabla5[[#This Row],[PA]]=-20,0.001,IF(SUM(Tabla4[#This Row])=0,0,SUM(Tabla4[#This Row])*20/(SUMPRODUCT(IF(ISNUMBER(Tabla1[Sobresaliente]),Tabla1[Sobresaliente],0)))+Tabla5[[#This Row],[TE]]+Tabla5[[#This Row],[PA]]))</f>
        <v>0</v>
      </c>
      <c r="V5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3" spans="1:22" ht="14.25" customHeight="1">
      <c r="A53" s="14">
        <v>49</v>
      </c>
      <c r="B53" s="18"/>
      <c r="C53" s="14"/>
      <c r="D53" s="14"/>
      <c r="E53" s="17"/>
      <c r="F53" s="17"/>
      <c r="G53" s="17"/>
      <c r="H53" s="17"/>
      <c r="I53" s="17"/>
      <c r="J53" s="12"/>
      <c r="K53" s="16"/>
      <c r="L53" s="76" t="str" cm="1">
        <f t="array" aca="1" ref="L5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3" s="76" t="str" cm="1">
        <f t="array" aca="1" ref="M5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3" s="76" t="str" cm="1">
        <f t="array" aca="1" ref="N5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3" s="76" t="str" cm="1">
        <f t="array" aca="1" ref="O5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3" s="76" t="str" cm="1">
        <f t="array" aca="1" ref="P5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3" s="24" t="str">
        <f>HLOOKUP(Tabla5[[#This Row],[TE]],Tabla2[],2,FALSE)</f>
        <v>Entregó el PA dentro del plazo establecido.</v>
      </c>
      <c r="R53" s="25" t="str">
        <f>HLOOKUP(Tabla5[[#This Row],[PA]],Tabla3[],2,FALSE)</f>
        <v>El trabajo presentado es original.</v>
      </c>
      <c r="S53" s="14"/>
      <c r="T53" s="15"/>
      <c r="U53" s="73" cm="1">
        <f t="array" ref="U53">IF(Tabla5[[#This Row],[PA]]=-20,0.001,IF(SUM(Tabla4[#This Row])=0,0,SUM(Tabla4[#This Row])*20/(SUMPRODUCT(IF(ISNUMBER(Tabla1[Sobresaliente]),Tabla1[Sobresaliente],0)))+Tabla5[[#This Row],[TE]]+Tabla5[[#This Row],[PA]]))</f>
        <v>0</v>
      </c>
      <c r="V5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4" spans="1:22" ht="14.25" customHeight="1">
      <c r="A54" s="14">
        <v>50</v>
      </c>
      <c r="B54" s="18"/>
      <c r="C54" s="14"/>
      <c r="D54" s="14"/>
      <c r="E54" s="17"/>
      <c r="F54" s="17"/>
      <c r="G54" s="17"/>
      <c r="H54" s="17"/>
      <c r="I54" s="17"/>
      <c r="J54" s="12"/>
      <c r="K54" s="16"/>
      <c r="L54" s="76" t="str" cm="1">
        <f t="array" aca="1" ref="L5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4" s="76" t="str" cm="1">
        <f t="array" aca="1" ref="M5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4" s="76" t="str" cm="1">
        <f t="array" aca="1" ref="N5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4" s="76" t="str" cm="1">
        <f t="array" aca="1" ref="O5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4" s="76" t="str" cm="1">
        <f t="array" aca="1" ref="P5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4" s="24" t="str">
        <f>HLOOKUP(Tabla5[[#This Row],[TE]],Tabla2[],2,FALSE)</f>
        <v>Entregó el PA dentro del plazo establecido.</v>
      </c>
      <c r="R54" s="25" t="str">
        <f>HLOOKUP(Tabla5[[#This Row],[PA]],Tabla3[],2,FALSE)</f>
        <v>El trabajo presentado es original.</v>
      </c>
      <c r="S54" s="14"/>
      <c r="T54" s="15"/>
      <c r="U54" s="73" cm="1">
        <f t="array" ref="U54">IF(Tabla5[[#This Row],[PA]]=-20,0.001,IF(SUM(Tabla4[#This Row])=0,0,SUM(Tabla4[#This Row])*20/(SUMPRODUCT(IF(ISNUMBER(Tabla1[Sobresaliente]),Tabla1[Sobresaliente],0)))+Tabla5[[#This Row],[TE]]+Tabla5[[#This Row],[PA]]))</f>
        <v>0</v>
      </c>
      <c r="V54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5" spans="1:22" ht="14.25" customHeight="1">
      <c r="A55" s="14">
        <v>51</v>
      </c>
      <c r="B55" s="18"/>
      <c r="C55" s="14"/>
      <c r="D55" s="14"/>
      <c r="E55" s="17"/>
      <c r="F55" s="17"/>
      <c r="G55" s="17"/>
      <c r="H55" s="17"/>
      <c r="I55" s="17"/>
      <c r="J55" s="12"/>
      <c r="K55" s="16"/>
      <c r="L55" s="76" t="str" cm="1">
        <f t="array" aca="1" ref="L55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5" s="76" t="str" cm="1">
        <f t="array" aca="1" ref="M55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5" s="76" t="str" cm="1">
        <f t="array" aca="1" ref="N55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5" s="76" t="str" cm="1">
        <f t="array" aca="1" ref="O55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5" s="76" t="str" cm="1">
        <f t="array" aca="1" ref="P55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5" s="24" t="str">
        <f>HLOOKUP(Tabla5[[#This Row],[TE]],Tabla2[],2,FALSE)</f>
        <v>Entregó el PA dentro del plazo establecido.</v>
      </c>
      <c r="R55" s="25" t="str">
        <f>HLOOKUP(Tabla5[[#This Row],[PA]],Tabla3[],2,FALSE)</f>
        <v>El trabajo presentado es original.</v>
      </c>
      <c r="S55" s="14"/>
      <c r="T55" s="15"/>
      <c r="U55" s="73" cm="1">
        <f t="array" ref="U55">IF(Tabla5[[#This Row],[PA]]=-20,0.001,IF(SUM(Tabla4[#This Row])=0,0,SUM(Tabla4[#This Row])*20/(SUMPRODUCT(IF(ISNUMBER(Tabla1[Sobresaliente]),Tabla1[Sobresaliente],0)))+Tabla5[[#This Row],[TE]]+Tabla5[[#This Row],[PA]]))</f>
        <v>0</v>
      </c>
      <c r="V55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6" spans="1:22" ht="14.25" customHeight="1">
      <c r="A56" s="14">
        <v>52</v>
      </c>
      <c r="B56" s="18"/>
      <c r="C56" s="14"/>
      <c r="D56" s="14"/>
      <c r="E56" s="17"/>
      <c r="F56" s="17"/>
      <c r="G56" s="17"/>
      <c r="H56" s="17"/>
      <c r="I56" s="17"/>
      <c r="J56" s="12"/>
      <c r="K56" s="16"/>
      <c r="L56" s="76" t="str" cm="1">
        <f t="array" aca="1" ref="L56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6" s="76" t="str" cm="1">
        <f t="array" aca="1" ref="M56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6" s="76" t="str" cm="1">
        <f t="array" aca="1" ref="N56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6" s="76" t="str" cm="1">
        <f t="array" aca="1" ref="O56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6" s="76" t="str" cm="1">
        <f t="array" aca="1" ref="P56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6" s="24" t="str">
        <f>HLOOKUP(Tabla5[[#This Row],[TE]],Tabla2[],2,FALSE)</f>
        <v>Entregó el PA dentro del plazo establecido.</v>
      </c>
      <c r="R56" s="25" t="str">
        <f>HLOOKUP(Tabla5[[#This Row],[PA]],Tabla3[],2,FALSE)</f>
        <v>El trabajo presentado es original.</v>
      </c>
      <c r="S56" s="14"/>
      <c r="T56" s="15"/>
      <c r="U56" s="73" cm="1">
        <f t="array" ref="U56">IF(Tabla5[[#This Row],[PA]]=-20,0.001,IF(SUM(Tabla4[#This Row])=0,0,SUM(Tabla4[#This Row])*20/(SUMPRODUCT(IF(ISNUMBER(Tabla1[Sobresaliente]),Tabla1[Sobresaliente],0)))+Tabla5[[#This Row],[TE]]+Tabla5[[#This Row],[PA]]))</f>
        <v>0</v>
      </c>
      <c r="V56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7" spans="1:22" ht="14.25" customHeight="1">
      <c r="A57" s="14">
        <v>53</v>
      </c>
      <c r="B57" s="18"/>
      <c r="C57" s="14"/>
      <c r="D57" s="14"/>
      <c r="E57" s="17"/>
      <c r="F57" s="17"/>
      <c r="G57" s="17"/>
      <c r="H57" s="17"/>
      <c r="I57" s="17"/>
      <c r="J57" s="12"/>
      <c r="K57" s="16"/>
      <c r="L57" s="76" t="str" cm="1">
        <f t="array" aca="1" ref="L57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7" s="76" t="str" cm="1">
        <f t="array" aca="1" ref="M57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7" s="76" t="str" cm="1">
        <f t="array" aca="1" ref="N57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7" s="76" t="str" cm="1">
        <f t="array" aca="1" ref="O57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7" s="76" t="str" cm="1">
        <f t="array" aca="1" ref="P57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7" s="24" t="str">
        <f>HLOOKUP(Tabla5[[#This Row],[TE]],Tabla2[],2,FALSE)</f>
        <v>Entregó el PA dentro del plazo establecido.</v>
      </c>
      <c r="R57" s="25" t="str">
        <f>HLOOKUP(Tabla5[[#This Row],[PA]],Tabla3[],2,FALSE)</f>
        <v>El trabajo presentado es original.</v>
      </c>
      <c r="S57" s="14"/>
      <c r="T57" s="15"/>
      <c r="U57" s="73" cm="1">
        <f t="array" ref="U57">IF(Tabla5[[#This Row],[PA]]=-20,0.001,IF(SUM(Tabla4[#This Row])=0,0,SUM(Tabla4[#This Row])*20/(SUMPRODUCT(IF(ISNUMBER(Tabla1[Sobresaliente]),Tabla1[Sobresaliente],0)))+Tabla5[[#This Row],[TE]]+Tabla5[[#This Row],[PA]]))</f>
        <v>0</v>
      </c>
      <c r="V57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8" spans="1:22" ht="14.25" customHeight="1">
      <c r="A58" s="14">
        <v>54</v>
      </c>
      <c r="B58" s="18"/>
      <c r="C58" s="14"/>
      <c r="D58" s="14"/>
      <c r="E58" s="17"/>
      <c r="F58" s="17"/>
      <c r="G58" s="17"/>
      <c r="H58" s="17"/>
      <c r="I58" s="17"/>
      <c r="J58" s="12"/>
      <c r="K58" s="16"/>
      <c r="L58" s="76" t="str" cm="1">
        <f t="array" aca="1" ref="L58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8" s="76" t="str" cm="1">
        <f t="array" aca="1" ref="M58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8" s="76" t="str" cm="1">
        <f t="array" aca="1" ref="N58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8" s="76" t="str" cm="1">
        <f t="array" aca="1" ref="O58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8" s="76" t="str" cm="1">
        <f t="array" aca="1" ref="P58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8" s="24" t="str">
        <f>HLOOKUP(Tabla5[[#This Row],[TE]],Tabla2[],2,FALSE)</f>
        <v>Entregó el PA dentro del plazo establecido.</v>
      </c>
      <c r="R58" s="25" t="str">
        <f>HLOOKUP(Tabla5[[#This Row],[PA]],Tabla3[],2,FALSE)</f>
        <v>El trabajo presentado es original.</v>
      </c>
      <c r="S58" s="14"/>
      <c r="T58" s="15"/>
      <c r="U58" s="73" cm="1">
        <f t="array" ref="U58">IF(Tabla5[[#This Row],[PA]]=-20,0.001,IF(SUM(Tabla4[#This Row])=0,0,SUM(Tabla4[#This Row])*20/(SUMPRODUCT(IF(ISNUMBER(Tabla1[Sobresaliente]),Tabla1[Sobresaliente],0)))+Tabla5[[#This Row],[TE]]+Tabla5[[#This Row],[PA]]))</f>
        <v>0</v>
      </c>
      <c r="V58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9" spans="1:22" ht="14.25" customHeight="1">
      <c r="A59" s="14">
        <v>55</v>
      </c>
      <c r="B59" s="18"/>
      <c r="C59" s="14"/>
      <c r="D59" s="14"/>
      <c r="E59" s="17"/>
      <c r="F59" s="17"/>
      <c r="G59" s="17"/>
      <c r="H59" s="17"/>
      <c r="I59" s="17"/>
      <c r="J59" s="12"/>
      <c r="K59" s="16"/>
      <c r="L59" s="76" t="str" cm="1">
        <f t="array" aca="1" ref="L59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59" s="76" t="str" cm="1">
        <f t="array" aca="1" ref="M59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59" s="76" t="str" cm="1">
        <f t="array" aca="1" ref="N59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59" s="76" t="str" cm="1">
        <f t="array" aca="1" ref="O59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59" s="76" t="str" cm="1">
        <f t="array" aca="1" ref="P59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59" s="24" t="str">
        <f>HLOOKUP(Tabla5[[#This Row],[TE]],Tabla2[],2,FALSE)</f>
        <v>Entregó el PA dentro del plazo establecido.</v>
      </c>
      <c r="R59" s="25" t="str">
        <f>HLOOKUP(Tabla5[[#This Row],[PA]],Tabla3[],2,FALSE)</f>
        <v>El trabajo presentado es original.</v>
      </c>
      <c r="S59" s="14"/>
      <c r="T59" s="15"/>
      <c r="U59" s="73" cm="1">
        <f t="array" ref="U59">IF(Tabla5[[#This Row],[PA]]=-20,0.001,IF(SUM(Tabla4[#This Row])=0,0,SUM(Tabla4[#This Row])*20/(SUMPRODUCT(IF(ISNUMBER(Tabla1[Sobresaliente]),Tabla1[Sobresaliente],0)))+Tabla5[[#This Row],[TE]]+Tabla5[[#This Row],[PA]]))</f>
        <v>0</v>
      </c>
      <c r="V59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0" spans="1:22" ht="14.25" customHeight="1">
      <c r="A60" s="14">
        <v>56</v>
      </c>
      <c r="B60" s="18"/>
      <c r="C60" s="14"/>
      <c r="D60" s="14"/>
      <c r="E60" s="17"/>
      <c r="F60" s="17"/>
      <c r="G60" s="17"/>
      <c r="H60" s="17"/>
      <c r="I60" s="17"/>
      <c r="J60" s="12"/>
      <c r="K60" s="16"/>
      <c r="L60" s="76" t="str" cm="1">
        <f t="array" aca="1" ref="L60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0" s="76" t="str" cm="1">
        <f t="array" aca="1" ref="M60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0" s="76" t="str" cm="1">
        <f t="array" aca="1" ref="N60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0" s="76" t="str" cm="1">
        <f t="array" aca="1" ref="O60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0" s="76" t="str" cm="1">
        <f t="array" aca="1" ref="P60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0" s="24" t="str">
        <f>HLOOKUP(Tabla5[[#This Row],[TE]],Tabla2[],2,FALSE)</f>
        <v>Entregó el PA dentro del plazo establecido.</v>
      </c>
      <c r="R60" s="25" t="str">
        <f>HLOOKUP(Tabla5[[#This Row],[PA]],Tabla3[],2,FALSE)</f>
        <v>El trabajo presentado es original.</v>
      </c>
      <c r="S60" s="14"/>
      <c r="T60" s="15"/>
      <c r="U60" s="73" cm="1">
        <f t="array" ref="U60">IF(Tabla5[[#This Row],[PA]]=-20,0.001,IF(SUM(Tabla4[#This Row])=0,0,SUM(Tabla4[#This Row])*20/(SUMPRODUCT(IF(ISNUMBER(Tabla1[Sobresaliente]),Tabla1[Sobresaliente],0)))+Tabla5[[#This Row],[TE]]+Tabla5[[#This Row],[PA]]))</f>
        <v>0</v>
      </c>
      <c r="V60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1" spans="1:22" ht="14.25" customHeight="1">
      <c r="A61" s="14">
        <v>57</v>
      </c>
      <c r="B61" s="18"/>
      <c r="C61" s="14"/>
      <c r="D61" s="14"/>
      <c r="E61" s="17"/>
      <c r="F61" s="17"/>
      <c r="G61" s="17"/>
      <c r="H61" s="17"/>
      <c r="I61" s="17"/>
      <c r="J61" s="12"/>
      <c r="K61" s="16"/>
      <c r="L61" s="76" t="str" cm="1">
        <f t="array" aca="1" ref="L61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1" s="76" t="str" cm="1">
        <f t="array" aca="1" ref="M61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1" s="76" t="str" cm="1">
        <f t="array" aca="1" ref="N61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1" s="76" t="str" cm="1">
        <f t="array" aca="1" ref="O61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1" s="76" t="str" cm="1">
        <f t="array" aca="1" ref="P61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1" s="24" t="str">
        <f>HLOOKUP(Tabla5[[#This Row],[TE]],Tabla2[],2,FALSE)</f>
        <v>Entregó el PA dentro del plazo establecido.</v>
      </c>
      <c r="R61" s="25" t="str">
        <f>HLOOKUP(Tabla5[[#This Row],[PA]],Tabla3[],2,FALSE)</f>
        <v>El trabajo presentado es original.</v>
      </c>
      <c r="S61" s="14"/>
      <c r="T61" s="15"/>
      <c r="U61" s="73" cm="1">
        <f t="array" ref="U61">IF(Tabla5[[#This Row],[PA]]=-20,0.001,IF(SUM(Tabla4[#This Row])=0,0,SUM(Tabla4[#This Row])*20/(SUMPRODUCT(IF(ISNUMBER(Tabla1[Sobresaliente]),Tabla1[Sobresaliente],0)))+Tabla5[[#This Row],[TE]]+Tabla5[[#This Row],[PA]]))</f>
        <v>0</v>
      </c>
      <c r="V61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2" spans="1:22" ht="14.25" customHeight="1">
      <c r="A62" s="14">
        <v>58</v>
      </c>
      <c r="B62" s="18"/>
      <c r="C62" s="14"/>
      <c r="D62" s="14"/>
      <c r="E62" s="17"/>
      <c r="F62" s="17"/>
      <c r="G62" s="17"/>
      <c r="H62" s="17"/>
      <c r="I62" s="17"/>
      <c r="J62" s="12"/>
      <c r="K62" s="16"/>
      <c r="L62" s="76" t="str" cm="1">
        <f t="array" aca="1" ref="L62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2" s="76" t="str" cm="1">
        <f t="array" aca="1" ref="M62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2" s="76" t="str" cm="1">
        <f t="array" aca="1" ref="N62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2" s="76" t="str" cm="1">
        <f t="array" aca="1" ref="O62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2" s="76" t="str" cm="1">
        <f t="array" aca="1" ref="P62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2" s="24" t="str">
        <f>HLOOKUP(Tabla5[[#This Row],[TE]],Tabla2[],2,FALSE)</f>
        <v>Entregó el PA dentro del plazo establecido.</v>
      </c>
      <c r="R62" s="25" t="str">
        <f>HLOOKUP(Tabla5[[#This Row],[PA]],Tabla3[],2,FALSE)</f>
        <v>El trabajo presentado es original.</v>
      </c>
      <c r="S62" s="14"/>
      <c r="T62" s="15"/>
      <c r="U62" s="73" cm="1">
        <f t="array" ref="U62">IF(Tabla5[[#This Row],[PA]]=-20,0.001,IF(SUM(Tabla4[#This Row])=0,0,SUM(Tabla4[#This Row])*20/(SUMPRODUCT(IF(ISNUMBER(Tabla1[Sobresaliente]),Tabla1[Sobresaliente],0)))+Tabla5[[#This Row],[TE]]+Tabla5[[#This Row],[PA]]))</f>
        <v>0</v>
      </c>
      <c r="V62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3" spans="1:22" ht="14.25" customHeight="1">
      <c r="A63" s="14">
        <v>59</v>
      </c>
      <c r="B63" s="18"/>
      <c r="C63" s="14"/>
      <c r="D63" s="14"/>
      <c r="E63" s="17"/>
      <c r="F63" s="17"/>
      <c r="G63" s="17"/>
      <c r="H63" s="17"/>
      <c r="I63" s="17"/>
      <c r="J63" s="12"/>
      <c r="K63" s="16"/>
      <c r="L63" s="76" t="str" cm="1">
        <f t="array" aca="1" ref="L63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3" s="76" t="str" cm="1">
        <f t="array" aca="1" ref="M63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3" s="76" t="str" cm="1">
        <f t="array" aca="1" ref="N63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3" s="76" t="str" cm="1">
        <f t="array" aca="1" ref="O63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3" s="76" t="str" cm="1">
        <f t="array" aca="1" ref="P63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3" s="24" t="str">
        <f>HLOOKUP(Tabla5[[#This Row],[TE]],Tabla2[],2,FALSE)</f>
        <v>Entregó el PA dentro del plazo establecido.</v>
      </c>
      <c r="R63" s="25" t="str">
        <f>HLOOKUP(Tabla5[[#This Row],[PA]],Tabla3[],2,FALSE)</f>
        <v>El trabajo presentado es original.</v>
      </c>
      <c r="S63" s="14"/>
      <c r="T63" s="15"/>
      <c r="U63" s="73" cm="1">
        <f t="array" ref="U63">IF(Tabla5[[#This Row],[PA]]=-20,0.001,IF(SUM(Tabla4[#This Row])=0,0,SUM(Tabla4[#This Row])*20/(SUMPRODUCT(IF(ISNUMBER(Tabla1[Sobresaliente]),Tabla1[Sobresaliente],0)))+Tabla5[[#This Row],[TE]]+Tabla5[[#This Row],[PA]]))</f>
        <v>0</v>
      </c>
      <c r="V63" s="30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4" spans="1:22" ht="14.25" customHeight="1">
      <c r="A64" s="14">
        <v>60</v>
      </c>
      <c r="B64" s="18"/>
      <c r="C64" s="14"/>
      <c r="D64" s="14"/>
      <c r="E64" s="17"/>
      <c r="F64" s="74"/>
      <c r="G64" s="74"/>
      <c r="H64" s="74"/>
      <c r="I64" s="74"/>
      <c r="J64" s="12"/>
      <c r="K64" s="16"/>
      <c r="L64" s="76" t="str" cm="1">
        <f t="array" aca="1" ref="L64" ca="1">"
"&amp;IF(Tabla4[[#This Row],[C1]]=INDIRECT("Feedback!C" &amp; ROW($C$15) + Tabla6[[#Headers],[0]]*2), INDIRECT("Feedback!C" &amp; ROW($C$16) + Tabla6[[#Headers],[0]]*2), IF(Tabla4[[#This Row],[C1]]=INDIRECT("Feedback!D" &amp; ROW($D$15) + Tabla6[[#Headers],[0]]*2), INDIRECT("Feedback!D" &amp; ROW($D$16) + Tabla6[[#Headers],[0]]*2),IF(Tabla4[[#This Row],[C1]]=INDIRECT("Feedback!E" &amp; ROW($E$15) + Tabla6[[#Headers],[0]]*2), INDIRECT("Feedback!E" &amp; ROW($E$16) + Tabla6[[#Headers],[0]]*2),IF(Tabla4[[#This Row],[C1]]=INDIRECT("Feedback!F" &amp; ROW($F$15) + Tabla6[[#Headers],[0]]*2), INDIRECT("Feedback!F" &amp; ROW($F$16) + Tabla6[[#Headers],[0]]*2), IF(Tabla4[[#This Row],[C1]]=INDIRECT("Feedback!G" &amp; ROW($G$15) + Tabla6[[#Headers],[0]]*2), INDIRECT("Feedback!G" &amp; ROW($G$16) + Tabla6[[#Headers],[0]]*2),IF(Tabla4[[#This Row],[C1]]=INDIRECT("Feedback!H" &amp; ROW($H$15) + Tabla6[[#Headers],[0]]*2), INDIRECT("Feedback!H" &amp; ROW($H$16) + Tabla6[[#Headers],[0]]*2), IF(Tabla4[[#This Row],[C1]]=INDIRECT("Feedback!I" &amp; ROW($I$15) + Tabla6[[#Headers],[0]]*2), INDIRECT("Feedback!I" &amp; ROW($I$16) + Tabla6[[#Headers],[0]]*2),  FALSE)))))))</f>
        <v xml:space="preserve">
Criterio:
Logro esperado (feedup):
Nivel logrado y puntaje:
Retroalimentación (feedback y feedforward):</v>
      </c>
      <c r="M64" s="76" t="str" cm="1">
        <f t="array" aca="1" ref="M64" ca="1">"
"&amp;IF(Tabla4[[#This Row],[C2]]=INDIRECT("Feedback!C" &amp; ROW($C$15) + Tabla6[[#Headers],[1]]*2), INDIRECT("Feedback!C" &amp; ROW($C$16) + Tabla6[[#Headers],[1]]*2), IF(Tabla4[[#This Row],[C2]]=INDIRECT("Feedback!D" &amp; ROW($D$15) + Tabla6[[#Headers],[1]]*2), INDIRECT("Feedback!D" &amp; ROW($D$16) + Tabla6[[#Headers],[1]]*2),IF(Tabla4[[#This Row],[C2]]=INDIRECT("Feedback!E" &amp; ROW($E$15) + Tabla6[[#Headers],[1]]*2), INDIRECT("Feedback!E" &amp; ROW($E$16) + Tabla6[[#Headers],[1]]*2),IF(Tabla4[[#This Row],[C2]]=INDIRECT("Feedback!F" &amp; ROW($F$15) + Tabla6[[#Headers],[1]]*2), INDIRECT("Feedback!F" &amp; ROW($F$16) + Tabla6[[#Headers],[1]]*2), IF(Tabla4[[#This Row],[C2]]=INDIRECT("Feedback!G" &amp; ROW($G$15) + Tabla6[[#Headers],[1]]*2), INDIRECT("Feedback!G" &amp; ROW($G$16) + Tabla6[[#Headers],[1]]*2),IF(Tabla4[[#This Row],[C2]]=INDIRECT("Feedback!H" &amp; ROW($H$15) + Tabla6[[#Headers],[1]]*2), INDIRECT("Feedback!H" &amp; ROW($H$16) + Tabla6[[#Headers],[1]]*2), IF(Tabla4[[#This Row],[C2]]=INDIRECT("Feedback!I" &amp; ROW($I$15) + Tabla6[[#Headers],[1]]*2), INDIRECT("Feedback!I" &amp; ROW($I$16) + Tabla6[[#Headers],[1]]*2),  FALSE)))))))</f>
        <v xml:space="preserve">
Criterio:
Logro esperado (feedup):
Nivel logrado y puntaje:
Retroalimentación (feedback y feedforward):</v>
      </c>
      <c r="N64" s="76" t="str" cm="1">
        <f t="array" aca="1" ref="N64" ca="1">"
"&amp;IF(Tabla4[[#This Row],[C3]]=INDIRECT("Feedback!C" &amp; ROW($C$15) + Tabla6[[#Headers],[2]]*2), INDIRECT("Feedback!C" &amp; ROW($C$16) + Tabla6[[#Headers],[2]]*2), IF(Tabla4[[#This Row],[C3]]=INDIRECT("Feedback!D" &amp; ROW($D$15) + Tabla6[[#Headers],[2]]*2), INDIRECT("Feedback!D" &amp; ROW($D$16) + Tabla6[[#Headers],[2]]*2),IF(Tabla4[[#This Row],[C3]]=INDIRECT("Feedback!E" &amp; ROW($E$15) + Tabla6[[#Headers],[2]]*2), INDIRECT("Feedback!E" &amp; ROW($E$16) + Tabla6[[#Headers],[2]]*2),IF(Tabla4[[#This Row],[C3]]=INDIRECT("Feedback!F" &amp; ROW($F$15) + Tabla6[[#Headers],[2]]*2), INDIRECT("Feedback!F" &amp; ROW($F$16) + Tabla6[[#Headers],[2]]*2), IF(Tabla4[[#This Row],[C3]]=INDIRECT("Feedback!G" &amp; ROW($G$15) + Tabla6[[#Headers],[2]]*2), INDIRECT("Feedback!G" &amp; ROW($G$16) + Tabla6[[#Headers],[2]]*2),IF(Tabla4[[#This Row],[C3]]=INDIRECT("Feedback!H" &amp; ROW($H$15) + Tabla6[[#Headers],[2]]*2), INDIRECT("Feedback!H" &amp; ROW($H$16) + Tabla6[[#Headers],[2]]*2), IF(Tabla4[[#This Row],[C3]]=INDIRECT("Feedback!I" &amp; ROW($I$15) + Tabla6[[#Headers],[2]]*2), INDIRECT("Feedback!I" &amp; ROW($I$16) + Tabla6[[#Headers],[2]]*2),  FALSE)))))))</f>
        <v xml:space="preserve">
Criterio:
Logro esperado (feedup):
Nivel logrado y puntaje:
Retroalimentación (feedback y feedforward):</v>
      </c>
      <c r="O64" s="76" t="str" cm="1">
        <f t="array" aca="1" ref="O64" ca="1">"
"&amp;IF(Tabla4[[#This Row],[C4]]=INDIRECT("Feedback!C" &amp; ROW($C$15) + Tabla6[[#Headers],[3]]*2), INDIRECT("Feedback!C" &amp; ROW($C$16) + Tabla6[[#Headers],[3]]*2), IF(Tabla4[[#This Row],[C4]]=INDIRECT("Feedback!D" &amp; ROW($D$15) + Tabla6[[#Headers],[3]]*2), INDIRECT("Feedback!D" &amp; ROW($D$16) + Tabla6[[#Headers],[3]]*2),IF(Tabla4[[#This Row],[C4]]=INDIRECT("Feedback!E" &amp; ROW($E$15) + Tabla6[[#Headers],[3]]*2), INDIRECT("Feedback!E" &amp; ROW($E$16) + Tabla6[[#Headers],[3]]*2),IF(Tabla4[[#This Row],[C4]]=INDIRECT("Feedback!F" &amp; ROW($F$15) + Tabla6[[#Headers],[3]]*2), INDIRECT("Feedback!F" &amp; ROW($F$16) + Tabla6[[#Headers],[3]]*2), IF(Tabla4[[#This Row],[C4]]=INDIRECT("Feedback!G" &amp; ROW($G$15) + Tabla6[[#Headers],[3]]*2), INDIRECT("Feedback!G" &amp; ROW($G$16) + Tabla6[[#Headers],[3]]*2),IF(Tabla4[[#This Row],[C4]]=INDIRECT("Feedback!H" &amp; ROW($H$15) + Tabla6[[#Headers],[3]]*2), INDIRECT("Feedback!H" &amp; ROW($H$16) + Tabla6[[#Headers],[3]]*2), IF(Tabla4[[#This Row],[C4]]=INDIRECT("Feedback!I" &amp; ROW($I$15) + Tabla6[[#Headers],[3]]*2), INDIRECT("Feedback!I" &amp; ROW($I$16) + Tabla6[[#Headers],[3]]*2),  FALSE)))))))</f>
        <v xml:space="preserve">
Criterio:
Logro esperado (feedup):
Nivel logrado y puntaje:
Retroalimentación (feedback y feedforward):</v>
      </c>
      <c r="P64" s="76" t="str" cm="1">
        <f t="array" aca="1" ref="P64" ca="1">"
"&amp;IF(Tabla4[[#This Row],[C5]]=INDIRECT("Feedback!C" &amp; ROW($C$15) + Tabla6[[#Headers],[4]]*2), INDIRECT("Feedback!C" &amp; ROW($C$16) + Tabla6[[#Headers],[4]]*2), IF(Tabla4[[#This Row],[C5]]=INDIRECT("Feedback!D" &amp; ROW($D$15) + Tabla6[[#Headers],[4]]*2), INDIRECT("Feedback!D" &amp; ROW($D$16) + Tabla6[[#Headers],[4]]*2),IF(Tabla4[[#This Row],[C5]]=INDIRECT("Feedback!E" &amp; ROW($E$15) + Tabla6[[#Headers],[4]]*2), INDIRECT("Feedback!E" &amp; ROW($E$16) + Tabla6[[#Headers],[4]]*2),IF(Tabla4[[#This Row],[C5]]=INDIRECT("Feedback!F" &amp; ROW($F$15) + Tabla6[[#Headers],[4]]*2), INDIRECT("Feedback!F" &amp; ROW($F$16) + Tabla6[[#Headers],[4]]*2), IF(Tabla4[[#This Row],[C5]]=INDIRECT("Feedback!G" &amp; ROW($G$15) + Tabla6[[#Headers],[4]]*2), INDIRECT("Feedback!G" &amp; ROW($G$16) + Tabla6[[#Headers],[4]]*2),IF(Tabla4[[#This Row],[C5]]=INDIRECT("Feedback!H" &amp; ROW($H$15) + Tabla6[[#Headers],[4]]*2), INDIRECT("Feedback!H" &amp; ROW($H$16) + Tabla6[[#Headers],[4]]*2), IF(Tabla4[[#This Row],[C5]]=INDIRECT("Feedback!I" &amp; ROW($I$15) + Tabla6[[#Headers],[4]]*2), INDIRECT("Feedback!I" &amp; ROW($I$16) + Tabla6[[#Headers],[4]]*2),  FALSE)))))))</f>
        <v xml:space="preserve">
Criterio:
Logro esperado (feedup):
Nivel logrado y puntaje:
Retroalimentación (feedback y feedforward):</v>
      </c>
      <c r="Q64" s="26" t="str">
        <f>HLOOKUP(Tabla5[[#This Row],[TE]],Tabla2[],2,FALSE)</f>
        <v>Entregó el PA dentro del plazo establecido.</v>
      </c>
      <c r="R64" s="27" t="str">
        <f>HLOOKUP(Tabla5[[#This Row],[PA]],Tabla3[],2,FALSE)</f>
        <v>El trabajo presentado es original.</v>
      </c>
      <c r="S64" s="19"/>
      <c r="T64" s="20"/>
      <c r="U64" s="73" cm="1">
        <f t="array" ref="U64">IF(Tabla5[[#This Row],[PA]]=-20,0.001,IF(SUM(Tabla4[#This Row])=0,0,SUM(Tabla4[#This Row])*20/(SUMPRODUCT(IF(ISNUMBER(Tabla1[Sobresaliente]),Tabla1[Sobresaliente],0)))+Tabla5[[#This Row],[TE]]+Tabla5[[#This Row],[PA]]))</f>
        <v>0</v>
      </c>
      <c r="V64" s="31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</sheetData>
  <sheetProtection sheet="1" objects="1" scenarios="1"/>
  <mergeCells count="3">
    <mergeCell ref="B2:D2"/>
    <mergeCell ref="B3:D3"/>
    <mergeCell ref="A1:Y1"/>
  </mergeCells>
  <phoneticPr fontId="12" type="noConversion"/>
  <dataValidations count="2">
    <dataValidation type="list" allowBlank="1" showInputMessage="1" showErrorMessage="1" errorTitle="Dato incorrecto" error="El dato ingresado es incorrecto porque no coincide con los puntos de descuento sobre tiempo de entrega." sqref="J5:J64" xr:uid="{C41F0D7B-4F8E-4C0D-8528-6F8F3A1B2736}">
      <formula1>Puntos_TE</formula1>
    </dataValidation>
    <dataValidation type="list" allowBlank="1" showInputMessage="1" showErrorMessage="1" error="El dato ingresado es incorrecto porque no coincide con los puntos de descuento sobre probidad académica." sqref="K5:K64" xr:uid="{2FA9E31F-F053-4D5C-9C1E-92C93649A6B5}">
      <formula1>Puntos_PA</formula1>
    </dataValidation>
  </dataValidations>
  <pageMargins left="0.7" right="0.7" top="0.75" bottom="0.75" header="0" footer="0"/>
  <pageSetup paperSize="9" scale="32" orientation="portrait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</sheetPr>
  <dimension ref="B1:G62"/>
  <sheetViews>
    <sheetView showGridLines="0" view="pageBreakPreview" zoomScaleNormal="100" zoomScaleSheetLayoutView="100" workbookViewId="0">
      <selection activeCell="F11" sqref="F11"/>
    </sheetView>
  </sheetViews>
  <sheetFormatPr baseColWidth="10" defaultColWidth="4" defaultRowHeight="15" customHeight="1"/>
  <cols>
    <col min="2" max="2" width="12.375" hidden="1" customWidth="1"/>
    <col min="3" max="3" width="14.5" hidden="1" customWidth="1"/>
    <col min="4" max="4" width="38.75" customWidth="1"/>
    <col min="5" max="5" width="28" customWidth="1"/>
    <col min="6" max="6" width="21.25" customWidth="1"/>
    <col min="7" max="7" width="27.875" customWidth="1"/>
    <col min="11" max="11" width="4.5" customWidth="1"/>
  </cols>
  <sheetData>
    <row r="1" spans="2:7" ht="27" customHeight="1">
      <c r="D1" s="86" t="s">
        <v>34</v>
      </c>
      <c r="E1" s="86"/>
      <c r="F1" s="86"/>
      <c r="G1" s="86"/>
    </row>
    <row r="2" spans="2:7" ht="29.25" customHeight="1">
      <c r="B2" s="40" t="s">
        <v>8</v>
      </c>
      <c r="C2" s="41" t="s">
        <v>9</v>
      </c>
      <c r="D2" s="41" t="s">
        <v>29</v>
      </c>
      <c r="E2" s="41" t="s">
        <v>11</v>
      </c>
      <c r="F2" s="41" t="s">
        <v>12</v>
      </c>
      <c r="G2" s="42" t="s">
        <v>13</v>
      </c>
    </row>
    <row r="3" spans="2:7" ht="14.25" customHeight="1">
      <c r="B3" s="43">
        <f>Calificar!B5</f>
        <v>0</v>
      </c>
      <c r="C3" s="44">
        <f>Calificar!C5</f>
        <v>0</v>
      </c>
      <c r="D3" s="44" t="str">
        <f>CONCATENATE(Tabla12[[#This Row],[Nombre]]," ",Tabla12[[#This Row],[Apellido(s)]])</f>
        <v>0 0</v>
      </c>
      <c r="E3" s="44">
        <f>Calificar!T5</f>
        <v>0</v>
      </c>
      <c r="F3" s="45">
        <f>Calificar!U5</f>
        <v>0</v>
      </c>
      <c r="G3" s="46" t="str">
        <f>Calificar!V5</f>
        <v>No presentó el PA</v>
      </c>
    </row>
    <row r="4" spans="2:7" ht="14.25" customHeight="1">
      <c r="B4" s="43">
        <f>Calificar!B6</f>
        <v>0</v>
      </c>
      <c r="C4" s="44">
        <f>Calificar!C6</f>
        <v>0</v>
      </c>
      <c r="D4" s="44" t="str">
        <f>CONCATENATE(Tabla12[[#This Row],[Nombre]]," ",Tabla12[[#This Row],[Apellido(s)]])</f>
        <v>0 0</v>
      </c>
      <c r="E4" s="44">
        <f>Calificar!T6</f>
        <v>0</v>
      </c>
      <c r="F4" s="45">
        <f>Calificar!U6</f>
        <v>0</v>
      </c>
      <c r="G4" s="46" t="str">
        <f>Calificar!V6</f>
        <v>No presentó el PA</v>
      </c>
    </row>
    <row r="5" spans="2:7" ht="14.25" customHeight="1">
      <c r="B5" s="43">
        <f>Calificar!B7</f>
        <v>0</v>
      </c>
      <c r="C5" s="44">
        <f>Calificar!C7</f>
        <v>0</v>
      </c>
      <c r="D5" s="44" t="str">
        <f>CONCATENATE(Tabla12[[#This Row],[Nombre]]," ",Tabla12[[#This Row],[Apellido(s)]])</f>
        <v>0 0</v>
      </c>
      <c r="E5" s="44">
        <f>Calificar!T7</f>
        <v>0</v>
      </c>
      <c r="F5" s="45">
        <f>Calificar!U7</f>
        <v>0</v>
      </c>
      <c r="G5" s="46" t="str">
        <f>Calificar!V7</f>
        <v>No presentó el PA</v>
      </c>
    </row>
    <row r="6" spans="2:7" ht="14.25" customHeight="1">
      <c r="B6" s="43">
        <f>Calificar!B8</f>
        <v>0</v>
      </c>
      <c r="C6" s="44">
        <f>Calificar!C8</f>
        <v>0</v>
      </c>
      <c r="D6" s="44" t="str">
        <f>CONCATENATE(Tabla12[[#This Row],[Nombre]]," ",Tabla12[[#This Row],[Apellido(s)]])</f>
        <v>0 0</v>
      </c>
      <c r="E6" s="44">
        <f>Calificar!T8</f>
        <v>0</v>
      </c>
      <c r="F6" s="45">
        <f>Calificar!U8</f>
        <v>0</v>
      </c>
      <c r="G6" s="46" t="str">
        <f>Calificar!V8</f>
        <v>No presentó el PA</v>
      </c>
    </row>
    <row r="7" spans="2:7" ht="14.25" customHeight="1">
      <c r="B7" s="43">
        <f>Calificar!B9</f>
        <v>0</v>
      </c>
      <c r="C7" s="44">
        <f>Calificar!C9</f>
        <v>0</v>
      </c>
      <c r="D7" s="44" t="str">
        <f>CONCATENATE(Tabla12[[#This Row],[Nombre]]," ",Tabla12[[#This Row],[Apellido(s)]])</f>
        <v>0 0</v>
      </c>
      <c r="E7" s="44">
        <f>Calificar!T9</f>
        <v>0</v>
      </c>
      <c r="F7" s="45">
        <f>Calificar!U9</f>
        <v>0</v>
      </c>
      <c r="G7" s="46" t="str">
        <f>Calificar!V9</f>
        <v>No presentó el PA</v>
      </c>
    </row>
    <row r="8" spans="2:7" ht="14.25" customHeight="1">
      <c r="B8" s="43">
        <f>Calificar!B10</f>
        <v>0</v>
      </c>
      <c r="C8" s="44">
        <f>Calificar!C10</f>
        <v>0</v>
      </c>
      <c r="D8" s="44" t="str">
        <f>CONCATENATE(Tabla12[[#This Row],[Nombre]]," ",Tabla12[[#This Row],[Apellido(s)]])</f>
        <v>0 0</v>
      </c>
      <c r="E8" s="44">
        <f>Calificar!T10</f>
        <v>0</v>
      </c>
      <c r="F8" s="45">
        <f>Calificar!U10</f>
        <v>0</v>
      </c>
      <c r="G8" s="46" t="str">
        <f>Calificar!V10</f>
        <v>No presentó el PA</v>
      </c>
    </row>
    <row r="9" spans="2:7" ht="14.25" customHeight="1">
      <c r="B9" s="43">
        <f>Calificar!B11</f>
        <v>0</v>
      </c>
      <c r="C9" s="44">
        <f>Calificar!C11</f>
        <v>0</v>
      </c>
      <c r="D9" s="44" t="str">
        <f>CONCATENATE(Tabla12[[#This Row],[Nombre]]," ",Tabla12[[#This Row],[Apellido(s)]])</f>
        <v>0 0</v>
      </c>
      <c r="E9" s="44">
        <f>Calificar!T11</f>
        <v>0</v>
      </c>
      <c r="F9" s="45">
        <f>Calificar!U11</f>
        <v>0</v>
      </c>
      <c r="G9" s="46" t="str">
        <f>Calificar!V11</f>
        <v>No presentó el PA</v>
      </c>
    </row>
    <row r="10" spans="2:7" ht="14.25" customHeight="1">
      <c r="B10" s="43">
        <f>Calificar!B12</f>
        <v>0</v>
      </c>
      <c r="C10" s="44">
        <f>Calificar!C12</f>
        <v>0</v>
      </c>
      <c r="D10" s="44" t="str">
        <f>CONCATENATE(Tabla12[[#This Row],[Nombre]]," ",Tabla12[[#This Row],[Apellido(s)]])</f>
        <v>0 0</v>
      </c>
      <c r="E10" s="44">
        <f>Calificar!T12</f>
        <v>0</v>
      </c>
      <c r="F10" s="45">
        <f>Calificar!U12</f>
        <v>0</v>
      </c>
      <c r="G10" s="46" t="str">
        <f>Calificar!V12</f>
        <v>No presentó el PA</v>
      </c>
    </row>
    <row r="11" spans="2:7" ht="14.25" customHeight="1">
      <c r="B11" s="43">
        <f>Calificar!B13</f>
        <v>0</v>
      </c>
      <c r="C11" s="44">
        <f>Calificar!C13</f>
        <v>0</v>
      </c>
      <c r="D11" s="44" t="str">
        <f>CONCATENATE(Tabla12[[#This Row],[Nombre]]," ",Tabla12[[#This Row],[Apellido(s)]])</f>
        <v>0 0</v>
      </c>
      <c r="E11" s="44">
        <f>Calificar!T13</f>
        <v>0</v>
      </c>
      <c r="F11" s="45">
        <f>Calificar!U13</f>
        <v>0</v>
      </c>
      <c r="G11" s="46" t="str">
        <f>Calificar!V13</f>
        <v>No presentó el PA</v>
      </c>
    </row>
    <row r="12" spans="2:7" ht="14.25" customHeight="1">
      <c r="B12" s="43">
        <f>Calificar!B14</f>
        <v>0</v>
      </c>
      <c r="C12" s="44">
        <f>Calificar!C14</f>
        <v>0</v>
      </c>
      <c r="D12" s="44" t="str">
        <f>CONCATENATE(Tabla12[[#This Row],[Nombre]]," ",Tabla12[[#This Row],[Apellido(s)]])</f>
        <v>0 0</v>
      </c>
      <c r="E12" s="44">
        <f>Calificar!T14</f>
        <v>0</v>
      </c>
      <c r="F12" s="45">
        <f>Calificar!U14</f>
        <v>0</v>
      </c>
      <c r="G12" s="46" t="str">
        <f>Calificar!V14</f>
        <v>No presentó el PA</v>
      </c>
    </row>
    <row r="13" spans="2:7" ht="14.25" customHeight="1">
      <c r="B13" s="43">
        <f>Calificar!B15</f>
        <v>0</v>
      </c>
      <c r="C13" s="44">
        <f>Calificar!C15</f>
        <v>0</v>
      </c>
      <c r="D13" s="44" t="str">
        <f>CONCATENATE(Tabla12[[#This Row],[Nombre]]," ",Tabla12[[#This Row],[Apellido(s)]])</f>
        <v>0 0</v>
      </c>
      <c r="E13" s="44">
        <f>Calificar!T15</f>
        <v>0</v>
      </c>
      <c r="F13" s="45">
        <f>Calificar!U15</f>
        <v>0</v>
      </c>
      <c r="G13" s="46" t="str">
        <f>Calificar!V15</f>
        <v>No presentó el PA</v>
      </c>
    </row>
    <row r="14" spans="2:7" ht="14.25" customHeight="1">
      <c r="B14" s="43">
        <f>Calificar!B16</f>
        <v>0</v>
      </c>
      <c r="C14" s="44">
        <f>Calificar!C16</f>
        <v>0</v>
      </c>
      <c r="D14" s="44" t="str">
        <f>CONCATENATE(Tabla12[[#This Row],[Nombre]]," ",Tabla12[[#This Row],[Apellido(s)]])</f>
        <v>0 0</v>
      </c>
      <c r="E14" s="44">
        <f>Calificar!T16</f>
        <v>0</v>
      </c>
      <c r="F14" s="45">
        <f>Calificar!U16</f>
        <v>0</v>
      </c>
      <c r="G14" s="46" t="str">
        <f>Calificar!V16</f>
        <v>No presentó el PA</v>
      </c>
    </row>
    <row r="15" spans="2:7" ht="14.25" customHeight="1">
      <c r="B15" s="43">
        <f>Calificar!B17</f>
        <v>0</v>
      </c>
      <c r="C15" s="44">
        <f>Calificar!C17</f>
        <v>0</v>
      </c>
      <c r="D15" s="44" t="str">
        <f>CONCATENATE(Tabla12[[#This Row],[Nombre]]," ",Tabla12[[#This Row],[Apellido(s)]])</f>
        <v>0 0</v>
      </c>
      <c r="E15" s="44">
        <f>Calificar!T17</f>
        <v>0</v>
      </c>
      <c r="F15" s="45">
        <f>Calificar!U17</f>
        <v>0</v>
      </c>
      <c r="G15" s="46" t="str">
        <f>Calificar!V17</f>
        <v>No presentó el PA</v>
      </c>
    </row>
    <row r="16" spans="2:7" ht="14.25" customHeight="1">
      <c r="B16" s="43">
        <f>Calificar!B18</f>
        <v>0</v>
      </c>
      <c r="C16" s="44">
        <f>Calificar!C18</f>
        <v>0</v>
      </c>
      <c r="D16" s="44" t="str">
        <f>CONCATENATE(Tabla12[[#This Row],[Nombre]]," ",Tabla12[[#This Row],[Apellido(s)]])</f>
        <v>0 0</v>
      </c>
      <c r="E16" s="44">
        <f>Calificar!T18</f>
        <v>0</v>
      </c>
      <c r="F16" s="45">
        <f>Calificar!U18</f>
        <v>0</v>
      </c>
      <c r="G16" s="46" t="str">
        <f>Calificar!V18</f>
        <v>No presentó el PA</v>
      </c>
    </row>
    <row r="17" spans="2:7" ht="14.25" customHeight="1">
      <c r="B17" s="43">
        <f>Calificar!B19</f>
        <v>0</v>
      </c>
      <c r="C17" s="44">
        <f>Calificar!C19</f>
        <v>0</v>
      </c>
      <c r="D17" s="44" t="str">
        <f>CONCATENATE(Tabla12[[#This Row],[Nombre]]," ",Tabla12[[#This Row],[Apellido(s)]])</f>
        <v>0 0</v>
      </c>
      <c r="E17" s="44">
        <f>Calificar!T19</f>
        <v>0</v>
      </c>
      <c r="F17" s="45">
        <f>Calificar!U19</f>
        <v>0</v>
      </c>
      <c r="G17" s="46" t="str">
        <f>Calificar!V19</f>
        <v>No presentó el PA</v>
      </c>
    </row>
    <row r="18" spans="2:7" ht="14.25" customHeight="1">
      <c r="B18" s="43">
        <f>Calificar!B20</f>
        <v>0</v>
      </c>
      <c r="C18" s="44">
        <f>Calificar!C20</f>
        <v>0</v>
      </c>
      <c r="D18" s="44" t="str">
        <f>CONCATENATE(Tabla12[[#This Row],[Nombre]]," ",Tabla12[[#This Row],[Apellido(s)]])</f>
        <v>0 0</v>
      </c>
      <c r="E18" s="44">
        <f>Calificar!T20</f>
        <v>0</v>
      </c>
      <c r="F18" s="45">
        <f>Calificar!U20</f>
        <v>0</v>
      </c>
      <c r="G18" s="46" t="str">
        <f>Calificar!V20</f>
        <v>No presentó el PA</v>
      </c>
    </row>
    <row r="19" spans="2:7" ht="14.25" customHeight="1">
      <c r="B19" s="43">
        <f>Calificar!B21</f>
        <v>0</v>
      </c>
      <c r="C19" s="44">
        <f>Calificar!C21</f>
        <v>0</v>
      </c>
      <c r="D19" s="44" t="str">
        <f>CONCATENATE(Tabla12[[#This Row],[Nombre]]," ",Tabla12[[#This Row],[Apellido(s)]])</f>
        <v>0 0</v>
      </c>
      <c r="E19" s="44">
        <f>Calificar!T21</f>
        <v>0</v>
      </c>
      <c r="F19" s="45">
        <f>Calificar!U21</f>
        <v>0</v>
      </c>
      <c r="G19" s="46" t="str">
        <f>Calificar!V21</f>
        <v>No presentó el PA</v>
      </c>
    </row>
    <row r="20" spans="2:7" ht="14.25" customHeight="1">
      <c r="B20" s="43">
        <f>Calificar!B22</f>
        <v>0</v>
      </c>
      <c r="C20" s="44">
        <f>Calificar!C22</f>
        <v>0</v>
      </c>
      <c r="D20" s="44" t="str">
        <f>CONCATENATE(Tabla12[[#This Row],[Nombre]]," ",Tabla12[[#This Row],[Apellido(s)]])</f>
        <v>0 0</v>
      </c>
      <c r="E20" s="44">
        <f>Calificar!T22</f>
        <v>0</v>
      </c>
      <c r="F20" s="45">
        <f>Calificar!U22</f>
        <v>0</v>
      </c>
      <c r="G20" s="46" t="str">
        <f>Calificar!V22</f>
        <v>No presentó el PA</v>
      </c>
    </row>
    <row r="21" spans="2:7" ht="14.25" customHeight="1">
      <c r="B21" s="43">
        <f>Calificar!B23</f>
        <v>0</v>
      </c>
      <c r="C21" s="44">
        <f>Calificar!C23</f>
        <v>0</v>
      </c>
      <c r="D21" s="44" t="str">
        <f>CONCATENATE(Tabla12[[#This Row],[Nombre]]," ",Tabla12[[#This Row],[Apellido(s)]])</f>
        <v>0 0</v>
      </c>
      <c r="E21" s="44">
        <f>Calificar!T23</f>
        <v>0</v>
      </c>
      <c r="F21" s="45">
        <f>Calificar!U23</f>
        <v>0</v>
      </c>
      <c r="G21" s="46" t="str">
        <f>Calificar!V23</f>
        <v>No presentó el PA</v>
      </c>
    </row>
    <row r="22" spans="2:7" ht="14.25" customHeight="1">
      <c r="B22" s="43">
        <f>Calificar!B24</f>
        <v>0</v>
      </c>
      <c r="C22" s="44">
        <f>Calificar!C24</f>
        <v>0</v>
      </c>
      <c r="D22" s="44" t="str">
        <f>CONCATENATE(Tabla12[[#This Row],[Nombre]]," ",Tabla12[[#This Row],[Apellido(s)]])</f>
        <v>0 0</v>
      </c>
      <c r="E22" s="44">
        <f>Calificar!T24</f>
        <v>0</v>
      </c>
      <c r="F22" s="45">
        <f>Calificar!U24</f>
        <v>0</v>
      </c>
      <c r="G22" s="46" t="str">
        <f>Calificar!V24</f>
        <v>No presentó el PA</v>
      </c>
    </row>
    <row r="23" spans="2:7" ht="14.25" customHeight="1">
      <c r="B23" s="43">
        <f>Calificar!B25</f>
        <v>0</v>
      </c>
      <c r="C23" s="44">
        <f>Calificar!C25</f>
        <v>0</v>
      </c>
      <c r="D23" s="44" t="str">
        <f>CONCATENATE(Tabla12[[#This Row],[Nombre]]," ",Tabla12[[#This Row],[Apellido(s)]])</f>
        <v>0 0</v>
      </c>
      <c r="E23" s="44">
        <f>Calificar!T25</f>
        <v>0</v>
      </c>
      <c r="F23" s="45">
        <f>Calificar!U25</f>
        <v>0</v>
      </c>
      <c r="G23" s="46" t="str">
        <f>Calificar!V25</f>
        <v>No presentó el PA</v>
      </c>
    </row>
    <row r="24" spans="2:7" ht="14.25" customHeight="1">
      <c r="B24" s="43">
        <f>Calificar!B26</f>
        <v>0</v>
      </c>
      <c r="C24" s="44">
        <f>Calificar!C26</f>
        <v>0</v>
      </c>
      <c r="D24" s="44" t="str">
        <f>CONCATENATE(Tabla12[[#This Row],[Nombre]]," ",Tabla12[[#This Row],[Apellido(s)]])</f>
        <v>0 0</v>
      </c>
      <c r="E24" s="44">
        <f>Calificar!T26</f>
        <v>0</v>
      </c>
      <c r="F24" s="45">
        <f>Calificar!U26</f>
        <v>0</v>
      </c>
      <c r="G24" s="46" t="str">
        <f>Calificar!V26</f>
        <v>No presentó el PA</v>
      </c>
    </row>
    <row r="25" spans="2:7" ht="14.25" customHeight="1">
      <c r="B25" s="43">
        <f>Calificar!B27</f>
        <v>0</v>
      </c>
      <c r="C25" s="44">
        <f>Calificar!C27</f>
        <v>0</v>
      </c>
      <c r="D25" s="44" t="str">
        <f>CONCATENATE(Tabla12[[#This Row],[Nombre]]," ",Tabla12[[#This Row],[Apellido(s)]])</f>
        <v>0 0</v>
      </c>
      <c r="E25" s="44">
        <f>Calificar!T27</f>
        <v>0</v>
      </c>
      <c r="F25" s="45">
        <f>Calificar!U27</f>
        <v>0</v>
      </c>
      <c r="G25" s="46" t="str">
        <f>Calificar!V27</f>
        <v>No presentó el PA</v>
      </c>
    </row>
    <row r="26" spans="2:7" ht="14.25" customHeight="1">
      <c r="B26" s="43">
        <f>Calificar!B28</f>
        <v>0</v>
      </c>
      <c r="C26" s="44">
        <f>Calificar!C28</f>
        <v>0</v>
      </c>
      <c r="D26" s="44" t="str">
        <f>CONCATENATE(Tabla12[[#This Row],[Nombre]]," ",Tabla12[[#This Row],[Apellido(s)]])</f>
        <v>0 0</v>
      </c>
      <c r="E26" s="44">
        <f>Calificar!T28</f>
        <v>0</v>
      </c>
      <c r="F26" s="45">
        <f>Calificar!U28</f>
        <v>0</v>
      </c>
      <c r="G26" s="46" t="str">
        <f>Calificar!V28</f>
        <v>No presentó el PA</v>
      </c>
    </row>
    <row r="27" spans="2:7" ht="14.25" customHeight="1">
      <c r="B27" s="43">
        <f>Calificar!B29</f>
        <v>0</v>
      </c>
      <c r="C27" s="44">
        <f>Calificar!C29</f>
        <v>0</v>
      </c>
      <c r="D27" s="44" t="str">
        <f>CONCATENATE(Tabla12[[#This Row],[Nombre]]," ",Tabla12[[#This Row],[Apellido(s)]])</f>
        <v>0 0</v>
      </c>
      <c r="E27" s="44">
        <f>Calificar!T29</f>
        <v>0</v>
      </c>
      <c r="F27" s="45">
        <f>Calificar!U29</f>
        <v>0</v>
      </c>
      <c r="G27" s="46" t="str">
        <f>Calificar!V29</f>
        <v>No presentó el PA</v>
      </c>
    </row>
    <row r="28" spans="2:7" ht="14.25" customHeight="1">
      <c r="B28" s="43">
        <f>Calificar!B30</f>
        <v>0</v>
      </c>
      <c r="C28" s="44">
        <f>Calificar!C30</f>
        <v>0</v>
      </c>
      <c r="D28" s="44" t="str">
        <f>CONCATENATE(Tabla12[[#This Row],[Nombre]]," ",Tabla12[[#This Row],[Apellido(s)]])</f>
        <v>0 0</v>
      </c>
      <c r="E28" s="44">
        <f>Calificar!T30</f>
        <v>0</v>
      </c>
      <c r="F28" s="45">
        <f>Calificar!U30</f>
        <v>0</v>
      </c>
      <c r="G28" s="46" t="str">
        <f>Calificar!V30</f>
        <v>No presentó el PA</v>
      </c>
    </row>
    <row r="29" spans="2:7" ht="14.25" customHeight="1">
      <c r="B29" s="43">
        <f>Calificar!B31</f>
        <v>0</v>
      </c>
      <c r="C29" s="44">
        <f>Calificar!C31</f>
        <v>0</v>
      </c>
      <c r="D29" s="44" t="str">
        <f>CONCATENATE(Tabla12[[#This Row],[Nombre]]," ",Tabla12[[#This Row],[Apellido(s)]])</f>
        <v>0 0</v>
      </c>
      <c r="E29" s="44">
        <f>Calificar!T31</f>
        <v>0</v>
      </c>
      <c r="F29" s="45">
        <f>Calificar!U31</f>
        <v>0</v>
      </c>
      <c r="G29" s="46" t="str">
        <f>Calificar!V31</f>
        <v>No presentó el PA</v>
      </c>
    </row>
    <row r="30" spans="2:7" ht="14.25" customHeight="1">
      <c r="B30" s="43">
        <f>Calificar!B32</f>
        <v>0</v>
      </c>
      <c r="C30" s="44">
        <f>Calificar!C32</f>
        <v>0</v>
      </c>
      <c r="D30" s="44" t="str">
        <f>CONCATENATE(Tabla12[[#This Row],[Nombre]]," ",Tabla12[[#This Row],[Apellido(s)]])</f>
        <v>0 0</v>
      </c>
      <c r="E30" s="44">
        <f>Calificar!T32</f>
        <v>0</v>
      </c>
      <c r="F30" s="45">
        <f>Calificar!U32</f>
        <v>0</v>
      </c>
      <c r="G30" s="46" t="str">
        <f>Calificar!V32</f>
        <v>No presentó el PA</v>
      </c>
    </row>
    <row r="31" spans="2:7" ht="14.25" customHeight="1">
      <c r="B31" s="43">
        <f>Calificar!B33</f>
        <v>0</v>
      </c>
      <c r="C31" s="44">
        <f>Calificar!C33</f>
        <v>0</v>
      </c>
      <c r="D31" s="44" t="str">
        <f>CONCATENATE(Tabla12[[#This Row],[Nombre]]," ",Tabla12[[#This Row],[Apellido(s)]])</f>
        <v>0 0</v>
      </c>
      <c r="E31" s="44">
        <f>Calificar!T33</f>
        <v>0</v>
      </c>
      <c r="F31" s="45">
        <f>Calificar!U33</f>
        <v>0</v>
      </c>
      <c r="G31" s="46" t="str">
        <f>Calificar!V33</f>
        <v>No presentó el PA</v>
      </c>
    </row>
    <row r="32" spans="2:7" ht="14.25" customHeight="1">
      <c r="B32" s="43">
        <f>Calificar!B34</f>
        <v>0</v>
      </c>
      <c r="C32" s="44">
        <f>Calificar!C34</f>
        <v>0</v>
      </c>
      <c r="D32" s="44" t="str">
        <f>CONCATENATE(Tabla12[[#This Row],[Nombre]]," ",Tabla12[[#This Row],[Apellido(s)]])</f>
        <v>0 0</v>
      </c>
      <c r="E32" s="44">
        <f>Calificar!T34</f>
        <v>0</v>
      </c>
      <c r="F32" s="45">
        <f>Calificar!U34</f>
        <v>0</v>
      </c>
      <c r="G32" s="46" t="str">
        <f>Calificar!V34</f>
        <v>No presentó el PA</v>
      </c>
    </row>
    <row r="33" spans="2:7" ht="14.25" customHeight="1">
      <c r="B33" s="43">
        <f>Calificar!B35</f>
        <v>0</v>
      </c>
      <c r="C33" s="44">
        <f>Calificar!C35</f>
        <v>0</v>
      </c>
      <c r="D33" s="44" t="str">
        <f>CONCATENATE(Tabla12[[#This Row],[Nombre]]," ",Tabla12[[#This Row],[Apellido(s)]])</f>
        <v>0 0</v>
      </c>
      <c r="E33" s="44">
        <f>Calificar!T35</f>
        <v>0</v>
      </c>
      <c r="F33" s="45">
        <f>Calificar!U35</f>
        <v>0</v>
      </c>
      <c r="G33" s="46" t="str">
        <f>Calificar!V35</f>
        <v>No presentó el PA</v>
      </c>
    </row>
    <row r="34" spans="2:7" ht="14.25" customHeight="1">
      <c r="B34" s="43">
        <f>Calificar!B36</f>
        <v>0</v>
      </c>
      <c r="C34" s="44">
        <f>Calificar!C36</f>
        <v>0</v>
      </c>
      <c r="D34" s="44" t="str">
        <f>CONCATENATE(Tabla12[[#This Row],[Nombre]]," ",Tabla12[[#This Row],[Apellido(s)]])</f>
        <v>0 0</v>
      </c>
      <c r="E34" s="44">
        <f>Calificar!T36</f>
        <v>0</v>
      </c>
      <c r="F34" s="45">
        <f>Calificar!U36</f>
        <v>0</v>
      </c>
      <c r="G34" s="46" t="str">
        <f>Calificar!V36</f>
        <v>No presentó el PA</v>
      </c>
    </row>
    <row r="35" spans="2:7" ht="14.25" customHeight="1">
      <c r="B35" s="43">
        <f>Calificar!B37</f>
        <v>0</v>
      </c>
      <c r="C35" s="44">
        <f>Calificar!C37</f>
        <v>0</v>
      </c>
      <c r="D35" s="44" t="str">
        <f>CONCATENATE(Tabla12[[#This Row],[Nombre]]," ",Tabla12[[#This Row],[Apellido(s)]])</f>
        <v>0 0</v>
      </c>
      <c r="E35" s="44">
        <f>Calificar!T37</f>
        <v>0</v>
      </c>
      <c r="F35" s="45">
        <f>Calificar!U37</f>
        <v>0</v>
      </c>
      <c r="G35" s="46" t="str">
        <f>Calificar!V37</f>
        <v>No presentó el PA</v>
      </c>
    </row>
    <row r="36" spans="2:7" ht="14.25" customHeight="1">
      <c r="B36" s="43">
        <f>Calificar!B38</f>
        <v>0</v>
      </c>
      <c r="C36" s="44">
        <f>Calificar!C38</f>
        <v>0</v>
      </c>
      <c r="D36" s="44" t="str">
        <f>CONCATENATE(Tabla12[[#This Row],[Nombre]]," ",Tabla12[[#This Row],[Apellido(s)]])</f>
        <v>0 0</v>
      </c>
      <c r="E36" s="44">
        <f>Calificar!T38</f>
        <v>0</v>
      </c>
      <c r="F36" s="45">
        <f>Calificar!U38</f>
        <v>0</v>
      </c>
      <c r="G36" s="46" t="str">
        <f>Calificar!V38</f>
        <v>No presentó el PA</v>
      </c>
    </row>
    <row r="37" spans="2:7" ht="14.25" customHeight="1">
      <c r="B37" s="43">
        <f>Calificar!B39</f>
        <v>0</v>
      </c>
      <c r="C37" s="44">
        <f>Calificar!C39</f>
        <v>0</v>
      </c>
      <c r="D37" s="44" t="str">
        <f>CONCATENATE(Tabla12[[#This Row],[Nombre]]," ",Tabla12[[#This Row],[Apellido(s)]])</f>
        <v>0 0</v>
      </c>
      <c r="E37" s="44">
        <f>Calificar!T39</f>
        <v>0</v>
      </c>
      <c r="F37" s="45">
        <f>Calificar!U39</f>
        <v>0</v>
      </c>
      <c r="G37" s="46" t="str">
        <f>Calificar!V39</f>
        <v>No presentó el PA</v>
      </c>
    </row>
    <row r="38" spans="2:7" ht="14.25" customHeight="1">
      <c r="B38" s="43">
        <f>Calificar!B40</f>
        <v>0</v>
      </c>
      <c r="C38" s="44">
        <f>Calificar!C40</f>
        <v>0</v>
      </c>
      <c r="D38" s="44" t="str">
        <f>CONCATENATE(Tabla12[[#This Row],[Nombre]]," ",Tabla12[[#This Row],[Apellido(s)]])</f>
        <v>0 0</v>
      </c>
      <c r="E38" s="44">
        <f>Calificar!T40</f>
        <v>0</v>
      </c>
      <c r="F38" s="45">
        <f>Calificar!U40</f>
        <v>0</v>
      </c>
      <c r="G38" s="46" t="str">
        <f>Calificar!V40</f>
        <v>No presentó el PA</v>
      </c>
    </row>
    <row r="39" spans="2:7" ht="14.25" customHeight="1">
      <c r="B39" s="43">
        <f>Calificar!B41</f>
        <v>0</v>
      </c>
      <c r="C39" s="44">
        <f>Calificar!C41</f>
        <v>0</v>
      </c>
      <c r="D39" s="44" t="str">
        <f>CONCATENATE(Tabla12[[#This Row],[Nombre]]," ",Tabla12[[#This Row],[Apellido(s)]])</f>
        <v>0 0</v>
      </c>
      <c r="E39" s="44">
        <f>Calificar!T41</f>
        <v>0</v>
      </c>
      <c r="F39" s="45">
        <f>Calificar!U41</f>
        <v>0</v>
      </c>
      <c r="G39" s="46" t="str">
        <f>Calificar!V41</f>
        <v>No presentó el PA</v>
      </c>
    </row>
    <row r="40" spans="2:7" ht="14.25" customHeight="1">
      <c r="B40" s="43">
        <f>Calificar!B42</f>
        <v>0</v>
      </c>
      <c r="C40" s="44">
        <f>Calificar!C42</f>
        <v>0</v>
      </c>
      <c r="D40" s="44" t="str">
        <f>CONCATENATE(Tabla12[[#This Row],[Nombre]]," ",Tabla12[[#This Row],[Apellido(s)]])</f>
        <v>0 0</v>
      </c>
      <c r="E40" s="44">
        <f>Calificar!T42</f>
        <v>0</v>
      </c>
      <c r="F40" s="45">
        <f>Calificar!U42</f>
        <v>0</v>
      </c>
      <c r="G40" s="46" t="str">
        <f>Calificar!V42</f>
        <v>No presentó el PA</v>
      </c>
    </row>
    <row r="41" spans="2:7" ht="14.25" customHeight="1">
      <c r="B41" s="43">
        <f>Calificar!B43</f>
        <v>0</v>
      </c>
      <c r="C41" s="44">
        <f>Calificar!C43</f>
        <v>0</v>
      </c>
      <c r="D41" s="44" t="str">
        <f>CONCATENATE(Tabla12[[#This Row],[Nombre]]," ",Tabla12[[#This Row],[Apellido(s)]])</f>
        <v>0 0</v>
      </c>
      <c r="E41" s="44">
        <f>Calificar!T43</f>
        <v>0</v>
      </c>
      <c r="F41" s="45">
        <f>Calificar!U43</f>
        <v>0</v>
      </c>
      <c r="G41" s="46" t="str">
        <f>Calificar!V43</f>
        <v>No presentó el PA</v>
      </c>
    </row>
    <row r="42" spans="2:7" ht="14.25" customHeight="1">
      <c r="B42" s="43">
        <f>Calificar!B44</f>
        <v>0</v>
      </c>
      <c r="C42" s="44">
        <f>Calificar!C44</f>
        <v>0</v>
      </c>
      <c r="D42" s="44" t="str">
        <f>CONCATENATE(Tabla12[[#This Row],[Nombre]]," ",Tabla12[[#This Row],[Apellido(s)]])</f>
        <v>0 0</v>
      </c>
      <c r="E42" s="44">
        <f>Calificar!T44</f>
        <v>0</v>
      </c>
      <c r="F42" s="45">
        <f>Calificar!U44</f>
        <v>0</v>
      </c>
      <c r="G42" s="46" t="str">
        <f>Calificar!V44</f>
        <v>No presentó el PA</v>
      </c>
    </row>
    <row r="43" spans="2:7" ht="14.25" customHeight="1">
      <c r="B43" s="43">
        <f>Calificar!B45</f>
        <v>0</v>
      </c>
      <c r="C43" s="44">
        <f>Calificar!C45</f>
        <v>0</v>
      </c>
      <c r="D43" s="44" t="str">
        <f>CONCATENATE(Tabla12[[#This Row],[Nombre]]," ",Tabla12[[#This Row],[Apellido(s)]])</f>
        <v>0 0</v>
      </c>
      <c r="E43" s="44">
        <f>Calificar!T45</f>
        <v>0</v>
      </c>
      <c r="F43" s="45">
        <f>Calificar!U45</f>
        <v>0</v>
      </c>
      <c r="G43" s="46" t="str">
        <f>Calificar!V45</f>
        <v>No presentó el PA</v>
      </c>
    </row>
    <row r="44" spans="2:7" ht="14.25" customHeight="1">
      <c r="B44" s="43">
        <f>Calificar!B46</f>
        <v>0</v>
      </c>
      <c r="C44" s="44">
        <f>Calificar!C46</f>
        <v>0</v>
      </c>
      <c r="D44" s="44" t="str">
        <f>CONCATENATE(Tabla12[[#This Row],[Nombre]]," ",Tabla12[[#This Row],[Apellido(s)]])</f>
        <v>0 0</v>
      </c>
      <c r="E44" s="44">
        <f>Calificar!T46</f>
        <v>0</v>
      </c>
      <c r="F44" s="45">
        <f>Calificar!U46</f>
        <v>0</v>
      </c>
      <c r="G44" s="46" t="str">
        <f>Calificar!V46</f>
        <v>No presentó el PA</v>
      </c>
    </row>
    <row r="45" spans="2:7" ht="14.25" customHeight="1">
      <c r="B45" s="43">
        <f>Calificar!B47</f>
        <v>0</v>
      </c>
      <c r="C45" s="44">
        <f>Calificar!C47</f>
        <v>0</v>
      </c>
      <c r="D45" s="44" t="str">
        <f>CONCATENATE(Tabla12[[#This Row],[Nombre]]," ",Tabla12[[#This Row],[Apellido(s)]])</f>
        <v>0 0</v>
      </c>
      <c r="E45" s="44">
        <f>Calificar!T47</f>
        <v>0</v>
      </c>
      <c r="F45" s="45">
        <f>Calificar!U47</f>
        <v>0</v>
      </c>
      <c r="G45" s="46" t="str">
        <f>Calificar!V47</f>
        <v>No presentó el PA</v>
      </c>
    </row>
    <row r="46" spans="2:7" ht="14.25" customHeight="1">
      <c r="B46" s="43">
        <f>Calificar!B48</f>
        <v>0</v>
      </c>
      <c r="C46" s="44">
        <f>Calificar!C48</f>
        <v>0</v>
      </c>
      <c r="D46" s="44" t="str">
        <f>CONCATENATE(Tabla12[[#This Row],[Nombre]]," ",Tabla12[[#This Row],[Apellido(s)]])</f>
        <v>0 0</v>
      </c>
      <c r="E46" s="44">
        <f>Calificar!T48</f>
        <v>0</v>
      </c>
      <c r="F46" s="45">
        <f>Calificar!U48</f>
        <v>0</v>
      </c>
      <c r="G46" s="46" t="str">
        <f>Calificar!V48</f>
        <v>No presentó el PA</v>
      </c>
    </row>
    <row r="47" spans="2:7" ht="14.25" customHeight="1">
      <c r="B47" s="43">
        <f>Calificar!B49</f>
        <v>0</v>
      </c>
      <c r="C47" s="44">
        <f>Calificar!C49</f>
        <v>0</v>
      </c>
      <c r="D47" s="44" t="str">
        <f>CONCATENATE(Tabla12[[#This Row],[Nombre]]," ",Tabla12[[#This Row],[Apellido(s)]])</f>
        <v>0 0</v>
      </c>
      <c r="E47" s="44">
        <f>Calificar!T49</f>
        <v>0</v>
      </c>
      <c r="F47" s="45">
        <f>Calificar!U49</f>
        <v>0</v>
      </c>
      <c r="G47" s="46" t="str">
        <f>Calificar!V49</f>
        <v>No presentó el PA</v>
      </c>
    </row>
    <row r="48" spans="2:7" ht="14.25" customHeight="1">
      <c r="B48" s="43">
        <f>Calificar!B50</f>
        <v>0</v>
      </c>
      <c r="C48" s="44">
        <f>Calificar!C50</f>
        <v>0</v>
      </c>
      <c r="D48" s="44" t="str">
        <f>CONCATENATE(Tabla12[[#This Row],[Nombre]]," ",Tabla12[[#This Row],[Apellido(s)]])</f>
        <v>0 0</v>
      </c>
      <c r="E48" s="44">
        <f>Calificar!T50</f>
        <v>0</v>
      </c>
      <c r="F48" s="45">
        <f>Calificar!U50</f>
        <v>0</v>
      </c>
      <c r="G48" s="46" t="str">
        <f>Calificar!V50</f>
        <v>No presentó el PA</v>
      </c>
    </row>
    <row r="49" spans="2:7" ht="14.25" customHeight="1">
      <c r="B49" s="43">
        <f>Calificar!B51</f>
        <v>0</v>
      </c>
      <c r="C49" s="44">
        <f>Calificar!C51</f>
        <v>0</v>
      </c>
      <c r="D49" s="44" t="str">
        <f>CONCATENATE(Tabla12[[#This Row],[Nombre]]," ",Tabla12[[#This Row],[Apellido(s)]])</f>
        <v>0 0</v>
      </c>
      <c r="E49" s="44">
        <f>Calificar!T51</f>
        <v>0</v>
      </c>
      <c r="F49" s="45">
        <f>Calificar!U51</f>
        <v>0</v>
      </c>
      <c r="G49" s="46" t="str">
        <f>Calificar!V51</f>
        <v>No presentó el PA</v>
      </c>
    </row>
    <row r="50" spans="2:7" ht="14.25" customHeight="1">
      <c r="B50" s="43">
        <f>Calificar!B52</f>
        <v>0</v>
      </c>
      <c r="C50" s="44">
        <f>Calificar!C52</f>
        <v>0</v>
      </c>
      <c r="D50" s="44" t="str">
        <f>CONCATENATE(Tabla12[[#This Row],[Nombre]]," ",Tabla12[[#This Row],[Apellido(s)]])</f>
        <v>0 0</v>
      </c>
      <c r="E50" s="44">
        <f>Calificar!T52</f>
        <v>0</v>
      </c>
      <c r="F50" s="45">
        <f>Calificar!U52</f>
        <v>0</v>
      </c>
      <c r="G50" s="46" t="str">
        <f>Calificar!V52</f>
        <v>No presentó el PA</v>
      </c>
    </row>
    <row r="51" spans="2:7" ht="14.25" customHeight="1">
      <c r="B51" s="43">
        <f>Calificar!B53</f>
        <v>0</v>
      </c>
      <c r="C51" s="44">
        <f>Calificar!C53</f>
        <v>0</v>
      </c>
      <c r="D51" s="44" t="str">
        <f>CONCATENATE(Tabla12[[#This Row],[Nombre]]," ",Tabla12[[#This Row],[Apellido(s)]])</f>
        <v>0 0</v>
      </c>
      <c r="E51" s="44">
        <f>Calificar!T53</f>
        <v>0</v>
      </c>
      <c r="F51" s="45">
        <f>Calificar!U53</f>
        <v>0</v>
      </c>
      <c r="G51" s="46" t="str">
        <f>Calificar!V53</f>
        <v>No presentó el PA</v>
      </c>
    </row>
    <row r="52" spans="2:7" ht="14.25" customHeight="1">
      <c r="B52" s="43">
        <f>Calificar!B54</f>
        <v>0</v>
      </c>
      <c r="C52" s="44">
        <f>Calificar!C54</f>
        <v>0</v>
      </c>
      <c r="D52" s="44" t="str">
        <f>CONCATENATE(Tabla12[[#This Row],[Nombre]]," ",Tabla12[[#This Row],[Apellido(s)]])</f>
        <v>0 0</v>
      </c>
      <c r="E52" s="44">
        <f>Calificar!T54</f>
        <v>0</v>
      </c>
      <c r="F52" s="45">
        <f>Calificar!U54</f>
        <v>0</v>
      </c>
      <c r="G52" s="46" t="str">
        <f>Calificar!V54</f>
        <v>No presentó el PA</v>
      </c>
    </row>
    <row r="53" spans="2:7" ht="14.25" customHeight="1">
      <c r="B53" s="43">
        <f>Calificar!B55</f>
        <v>0</v>
      </c>
      <c r="C53" s="44">
        <f>Calificar!C55</f>
        <v>0</v>
      </c>
      <c r="D53" s="44" t="str">
        <f>CONCATENATE(Tabla12[[#This Row],[Nombre]]," ",Tabla12[[#This Row],[Apellido(s)]])</f>
        <v>0 0</v>
      </c>
      <c r="E53" s="44">
        <f>Calificar!T55</f>
        <v>0</v>
      </c>
      <c r="F53" s="45">
        <f>Calificar!U55</f>
        <v>0</v>
      </c>
      <c r="G53" s="46" t="str">
        <f>Calificar!V55</f>
        <v>No presentó el PA</v>
      </c>
    </row>
    <row r="54" spans="2:7" ht="14.25" customHeight="1">
      <c r="B54" s="43">
        <f>Calificar!B56</f>
        <v>0</v>
      </c>
      <c r="C54" s="44">
        <f>Calificar!C56</f>
        <v>0</v>
      </c>
      <c r="D54" s="44" t="str">
        <f>CONCATENATE(Tabla12[[#This Row],[Nombre]]," ",Tabla12[[#This Row],[Apellido(s)]])</f>
        <v>0 0</v>
      </c>
      <c r="E54" s="44">
        <f>Calificar!T56</f>
        <v>0</v>
      </c>
      <c r="F54" s="45">
        <f>Calificar!U56</f>
        <v>0</v>
      </c>
      <c r="G54" s="46" t="str">
        <f>Calificar!V56</f>
        <v>No presentó el PA</v>
      </c>
    </row>
    <row r="55" spans="2:7" ht="14.25" customHeight="1">
      <c r="B55" s="43">
        <f>Calificar!B57</f>
        <v>0</v>
      </c>
      <c r="C55" s="44">
        <f>Calificar!C57</f>
        <v>0</v>
      </c>
      <c r="D55" s="44" t="str">
        <f>CONCATENATE(Tabla12[[#This Row],[Nombre]]," ",Tabla12[[#This Row],[Apellido(s)]])</f>
        <v>0 0</v>
      </c>
      <c r="E55" s="44">
        <f>Calificar!T57</f>
        <v>0</v>
      </c>
      <c r="F55" s="45">
        <f>Calificar!U57</f>
        <v>0</v>
      </c>
      <c r="G55" s="46" t="str">
        <f>Calificar!V57</f>
        <v>No presentó el PA</v>
      </c>
    </row>
    <row r="56" spans="2:7" ht="14.25" customHeight="1">
      <c r="B56" s="43">
        <f>Calificar!B58</f>
        <v>0</v>
      </c>
      <c r="C56" s="44">
        <f>Calificar!C58</f>
        <v>0</v>
      </c>
      <c r="D56" s="44" t="str">
        <f>CONCATENATE(Tabla12[[#This Row],[Nombre]]," ",Tabla12[[#This Row],[Apellido(s)]])</f>
        <v>0 0</v>
      </c>
      <c r="E56" s="44">
        <f>Calificar!T58</f>
        <v>0</v>
      </c>
      <c r="F56" s="45">
        <f>Calificar!U58</f>
        <v>0</v>
      </c>
      <c r="G56" s="46" t="str">
        <f>Calificar!V58</f>
        <v>No presentó el PA</v>
      </c>
    </row>
    <row r="57" spans="2:7" ht="14.25" customHeight="1">
      <c r="B57" s="43">
        <f>Calificar!B59</f>
        <v>0</v>
      </c>
      <c r="C57" s="44">
        <f>Calificar!C59</f>
        <v>0</v>
      </c>
      <c r="D57" s="44" t="str">
        <f>CONCATENATE(Tabla12[[#This Row],[Nombre]]," ",Tabla12[[#This Row],[Apellido(s)]])</f>
        <v>0 0</v>
      </c>
      <c r="E57" s="44">
        <f>Calificar!T59</f>
        <v>0</v>
      </c>
      <c r="F57" s="45">
        <f>Calificar!U59</f>
        <v>0</v>
      </c>
      <c r="G57" s="46" t="str">
        <f>Calificar!V59</f>
        <v>No presentó el PA</v>
      </c>
    </row>
    <row r="58" spans="2:7" ht="14.25" customHeight="1">
      <c r="B58" s="43">
        <f>Calificar!B60</f>
        <v>0</v>
      </c>
      <c r="C58" s="44">
        <f>Calificar!C60</f>
        <v>0</v>
      </c>
      <c r="D58" s="44" t="str">
        <f>CONCATENATE(Tabla12[[#This Row],[Nombre]]," ",Tabla12[[#This Row],[Apellido(s)]])</f>
        <v>0 0</v>
      </c>
      <c r="E58" s="44">
        <f>Calificar!T60</f>
        <v>0</v>
      </c>
      <c r="F58" s="45">
        <f>Calificar!U60</f>
        <v>0</v>
      </c>
      <c r="G58" s="46" t="str">
        <f>Calificar!V60</f>
        <v>No presentó el PA</v>
      </c>
    </row>
    <row r="59" spans="2:7" ht="14.25" customHeight="1">
      <c r="B59" s="43">
        <f>Calificar!B61</f>
        <v>0</v>
      </c>
      <c r="C59" s="44">
        <f>Calificar!C61</f>
        <v>0</v>
      </c>
      <c r="D59" s="44" t="str">
        <f>CONCATENATE(Tabla12[[#This Row],[Nombre]]," ",Tabla12[[#This Row],[Apellido(s)]])</f>
        <v>0 0</v>
      </c>
      <c r="E59" s="44">
        <f>Calificar!T61</f>
        <v>0</v>
      </c>
      <c r="F59" s="45">
        <f>Calificar!U61</f>
        <v>0</v>
      </c>
      <c r="G59" s="46" t="str">
        <f>Calificar!V61</f>
        <v>No presentó el PA</v>
      </c>
    </row>
    <row r="60" spans="2:7" ht="14.25" customHeight="1">
      <c r="B60" s="43">
        <f>Calificar!B62</f>
        <v>0</v>
      </c>
      <c r="C60" s="44">
        <f>Calificar!C62</f>
        <v>0</v>
      </c>
      <c r="D60" s="44" t="str">
        <f>CONCATENATE(Tabla12[[#This Row],[Nombre]]," ",Tabla12[[#This Row],[Apellido(s)]])</f>
        <v>0 0</v>
      </c>
      <c r="E60" s="44">
        <f>Calificar!T62</f>
        <v>0</v>
      </c>
      <c r="F60" s="45">
        <f>Calificar!U62</f>
        <v>0</v>
      </c>
      <c r="G60" s="46" t="str">
        <f>Calificar!V62</f>
        <v>No presentó el PA</v>
      </c>
    </row>
    <row r="61" spans="2:7" ht="14.25" customHeight="1">
      <c r="B61" s="43">
        <f>Calificar!B63</f>
        <v>0</v>
      </c>
      <c r="C61" s="44">
        <f>Calificar!C63</f>
        <v>0</v>
      </c>
      <c r="D61" s="44" t="str">
        <f>CONCATENATE(Tabla12[[#This Row],[Nombre]]," ",Tabla12[[#This Row],[Apellido(s)]])</f>
        <v>0 0</v>
      </c>
      <c r="E61" s="44">
        <f>Calificar!T63</f>
        <v>0</v>
      </c>
      <c r="F61" s="45">
        <f>Calificar!U63</f>
        <v>0</v>
      </c>
      <c r="G61" s="46" t="str">
        <f>Calificar!V63</f>
        <v>No presentó el PA</v>
      </c>
    </row>
    <row r="62" spans="2:7" ht="14.25" customHeight="1">
      <c r="B62" s="36">
        <f>Calificar!B64</f>
        <v>0</v>
      </c>
      <c r="C62" s="37">
        <f>Calificar!C64</f>
        <v>0</v>
      </c>
      <c r="D62" s="37" t="str">
        <f>CONCATENATE(Tabla12[[#This Row],[Nombre]]," ",Tabla12[[#This Row],[Apellido(s)]])</f>
        <v>0 0</v>
      </c>
      <c r="E62" s="37">
        <f>Calificar!T64</f>
        <v>0</v>
      </c>
      <c r="F62" s="47">
        <f>Calificar!U64</f>
        <v>0</v>
      </c>
      <c r="G62" s="48" t="str">
        <f>Calificar!V64</f>
        <v>No presentó el PA</v>
      </c>
    </row>
  </sheetData>
  <mergeCells count="1">
    <mergeCell ref="D1:G1"/>
  </mergeCells>
  <pageMargins left="0.7" right="0.7" top="0.75" bottom="0.75" header="0" footer="0"/>
  <pageSetup scale="78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2630-590F-43B9-B4E8-08E3E60C9C5B}">
  <sheetPr codeName="Hoja4">
    <tabColor rgb="FFFDB80B"/>
  </sheetPr>
  <dimension ref="A1:F25"/>
  <sheetViews>
    <sheetView showGridLines="0" view="pageBreakPreview" zoomScaleNormal="100" zoomScaleSheetLayoutView="100" workbookViewId="0">
      <selection activeCell="B24" sqref="B24"/>
    </sheetView>
  </sheetViews>
  <sheetFormatPr baseColWidth="10" defaultRowHeight="14.25"/>
  <cols>
    <col min="1" max="1" width="7.5" customWidth="1"/>
    <col min="2" max="2" width="20.875" bestFit="1" customWidth="1"/>
    <col min="3" max="3" width="6" customWidth="1"/>
    <col min="4" max="6" width="27.375" customWidth="1"/>
    <col min="7" max="47" width="27.625" bestFit="1" customWidth="1"/>
    <col min="48" max="48" width="12.625" bestFit="1" customWidth="1"/>
  </cols>
  <sheetData>
    <row r="1" spans="1:6" ht="27.75">
      <c r="A1" s="86" t="s">
        <v>35</v>
      </c>
      <c r="B1" s="86"/>
      <c r="C1" s="86"/>
      <c r="D1" s="86"/>
      <c r="E1" s="86"/>
      <c r="F1" s="86"/>
    </row>
    <row r="2" spans="1:6" ht="16.5" customHeight="1"/>
    <row r="3" spans="1:6" ht="16.5" customHeight="1"/>
    <row r="23" spans="2:3">
      <c r="B23" s="38" t="s">
        <v>29</v>
      </c>
      <c r="C23" t="s">
        <v>31</v>
      </c>
    </row>
    <row r="24" spans="2:3">
      <c r="B24" s="39" t="s">
        <v>30</v>
      </c>
      <c r="C24" s="49">
        <v>0</v>
      </c>
    </row>
    <row r="25" spans="2:3">
      <c r="B25" s="39" t="s">
        <v>28</v>
      </c>
      <c r="C25" s="49">
        <v>0</v>
      </c>
    </row>
  </sheetData>
  <mergeCells count="1">
    <mergeCell ref="A1:F1"/>
  </mergeCells>
  <conditionalFormatting sqref="C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6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Feedback</vt:lpstr>
      <vt:lpstr>Calificar</vt:lpstr>
      <vt:lpstr>Importar</vt:lpstr>
      <vt:lpstr>Analítica</vt:lpstr>
      <vt:lpstr>Analítica!Área_de_impresión</vt:lpstr>
      <vt:lpstr>Calificar!Área_de_impresión</vt:lpstr>
      <vt:lpstr>Feedback!Área_de_impresión</vt:lpstr>
      <vt:lpstr>Importar!Área_de_impresión</vt:lpstr>
      <vt:lpstr>Puntos</vt:lpstr>
      <vt:lpstr>Puntos_PA</vt:lpstr>
      <vt:lpstr>Puntos_TE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FILIBERTO CCERES BACA</dc:creator>
  <cp:lastModifiedBy>Asus</cp:lastModifiedBy>
  <dcterms:created xsi:type="dcterms:W3CDTF">2022-04-09T18:32:30Z</dcterms:created>
  <dcterms:modified xsi:type="dcterms:W3CDTF">2023-08-18T13:48:47Z</dcterms:modified>
</cp:coreProperties>
</file>
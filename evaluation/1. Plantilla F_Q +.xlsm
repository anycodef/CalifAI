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EDRO\Desktop\CalifAI\evaluation\"/>
    </mc:Choice>
  </mc:AlternateContent>
  <xr:revisionPtr revIDLastSave="0" documentId="13_ncr:1_{187C9565-4337-4B01-B3E8-8EE9968289B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Feedback" sheetId="1" r:id="rId1"/>
    <sheet name="Calificar" sheetId="2" r:id="rId2"/>
    <sheet name="Importar" sheetId="3" r:id="rId3"/>
    <sheet name="Analítica" sheetId="4" r:id="rId4"/>
  </sheets>
  <definedNames>
    <definedName name="_xlnm._FilterDatabase" localSheetId="1" hidden="1">Calificar!$A$4:$V$4</definedName>
    <definedName name="_xlchart.v1.0" hidden="1">Importar!$F$3:$F$47</definedName>
    <definedName name="_xlnm.Print_Area" localSheetId="3">Analítica!$A$1:$F$82</definedName>
    <definedName name="_xlnm.Print_Area" localSheetId="1">Calificar!$A$1:$Z$64</definedName>
    <definedName name="_xlnm.Print_Area" localSheetId="0">Feedback!$A$1:$I$71</definedName>
    <definedName name="Puntos">Feedback!$C$14:$F$14</definedName>
    <definedName name="Puntos_PA">Feedback!$C$8:$D$8</definedName>
    <definedName name="Puntos_TE">Feedback!$C$6:$D$6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7" roundtripDataSignature="AMtx7mhZyNIlgeG4lGYSxRC3B17VaVUHYQ=="/>
    </ext>
  </extLst>
</workbook>
</file>

<file path=xl/calcChain.xml><?xml version="1.0" encoding="utf-8"?>
<calcChain xmlns="http://schemas.openxmlformats.org/spreadsheetml/2006/main">
  <c r="M5" i="2" l="1"/>
  <c r="N5" i="2"/>
  <c r="O5" i="2"/>
  <c r="P5" i="2"/>
  <c r="M6" i="2"/>
  <c r="N6" i="2"/>
  <c r="O6" i="2"/>
  <c r="P6" i="2"/>
  <c r="M7" i="2"/>
  <c r="N7" i="2"/>
  <c r="O7" i="2"/>
  <c r="P7" i="2"/>
  <c r="M8" i="2"/>
  <c r="N8" i="2"/>
  <c r="O8" i="2"/>
  <c r="P8" i="2"/>
  <c r="M9" i="2"/>
  <c r="N9" i="2"/>
  <c r="O9" i="2"/>
  <c r="P9" i="2"/>
  <c r="M10" i="2"/>
  <c r="N10" i="2"/>
  <c r="O10" i="2"/>
  <c r="P10" i="2"/>
  <c r="M11" i="2"/>
  <c r="N11" i="2"/>
  <c r="O11" i="2"/>
  <c r="P11" i="2"/>
  <c r="M12" i="2"/>
  <c r="N12" i="2"/>
  <c r="O12" i="2"/>
  <c r="P12" i="2"/>
  <c r="M13" i="2"/>
  <c r="N13" i="2"/>
  <c r="O13" i="2"/>
  <c r="P13" i="2"/>
  <c r="M14" i="2"/>
  <c r="N14" i="2"/>
  <c r="O14" i="2"/>
  <c r="P14" i="2"/>
  <c r="M15" i="2"/>
  <c r="N15" i="2"/>
  <c r="O15" i="2"/>
  <c r="P15" i="2"/>
  <c r="M16" i="2"/>
  <c r="N16" i="2"/>
  <c r="O16" i="2"/>
  <c r="P16" i="2"/>
  <c r="M17" i="2"/>
  <c r="N17" i="2"/>
  <c r="O17" i="2"/>
  <c r="P17" i="2"/>
  <c r="M18" i="2"/>
  <c r="N18" i="2"/>
  <c r="O18" i="2"/>
  <c r="P18" i="2"/>
  <c r="M19" i="2"/>
  <c r="N19" i="2"/>
  <c r="O19" i="2"/>
  <c r="P19" i="2"/>
  <c r="M20" i="2"/>
  <c r="N20" i="2"/>
  <c r="O20" i="2"/>
  <c r="P20" i="2"/>
  <c r="M21" i="2"/>
  <c r="N21" i="2"/>
  <c r="O21" i="2"/>
  <c r="P21" i="2"/>
  <c r="M22" i="2"/>
  <c r="N22" i="2"/>
  <c r="O22" i="2"/>
  <c r="P22" i="2"/>
  <c r="M23" i="2"/>
  <c r="N23" i="2"/>
  <c r="O23" i="2"/>
  <c r="P23" i="2"/>
  <c r="M24" i="2"/>
  <c r="N24" i="2"/>
  <c r="O24" i="2"/>
  <c r="P24" i="2"/>
  <c r="M25" i="2"/>
  <c r="N25" i="2"/>
  <c r="O25" i="2"/>
  <c r="P25" i="2"/>
  <c r="M26" i="2"/>
  <c r="N26" i="2"/>
  <c r="O26" i="2"/>
  <c r="P26" i="2"/>
  <c r="M27" i="2"/>
  <c r="N27" i="2"/>
  <c r="O27" i="2"/>
  <c r="P27" i="2"/>
  <c r="M28" i="2"/>
  <c r="N28" i="2"/>
  <c r="O28" i="2"/>
  <c r="P28" i="2"/>
  <c r="M29" i="2"/>
  <c r="N29" i="2"/>
  <c r="O29" i="2"/>
  <c r="P29" i="2"/>
  <c r="M30" i="2"/>
  <c r="N30" i="2"/>
  <c r="O30" i="2"/>
  <c r="P30" i="2"/>
  <c r="M31" i="2"/>
  <c r="N31" i="2"/>
  <c r="O31" i="2"/>
  <c r="P31" i="2"/>
  <c r="M32" i="2"/>
  <c r="N32" i="2"/>
  <c r="O32" i="2"/>
  <c r="P32" i="2"/>
  <c r="M33" i="2"/>
  <c r="N33" i="2"/>
  <c r="O33" i="2"/>
  <c r="P33" i="2"/>
  <c r="M34" i="2"/>
  <c r="N34" i="2"/>
  <c r="O34" i="2"/>
  <c r="P34" i="2"/>
  <c r="M35" i="2"/>
  <c r="N35" i="2"/>
  <c r="O35" i="2"/>
  <c r="P35" i="2"/>
  <c r="M36" i="2"/>
  <c r="N36" i="2"/>
  <c r="O36" i="2"/>
  <c r="P36" i="2"/>
  <c r="M37" i="2"/>
  <c r="N37" i="2"/>
  <c r="O37" i="2"/>
  <c r="P37" i="2"/>
  <c r="M38" i="2"/>
  <c r="N38" i="2"/>
  <c r="O38" i="2"/>
  <c r="P38" i="2"/>
  <c r="M39" i="2"/>
  <c r="N39" i="2"/>
  <c r="O39" i="2"/>
  <c r="P39" i="2"/>
  <c r="M40" i="2"/>
  <c r="N40" i="2"/>
  <c r="O40" i="2"/>
  <c r="P40" i="2"/>
  <c r="M41" i="2"/>
  <c r="N41" i="2"/>
  <c r="O41" i="2"/>
  <c r="P41" i="2"/>
  <c r="M42" i="2"/>
  <c r="N42" i="2"/>
  <c r="O42" i="2"/>
  <c r="P42" i="2"/>
  <c r="M43" i="2"/>
  <c r="N43" i="2"/>
  <c r="O43" i="2"/>
  <c r="P43" i="2"/>
  <c r="M44" i="2"/>
  <c r="N44" i="2"/>
  <c r="O44" i="2"/>
  <c r="P44" i="2"/>
  <c r="M45" i="2"/>
  <c r="N45" i="2"/>
  <c r="O45" i="2"/>
  <c r="P45" i="2"/>
  <c r="M46" i="2"/>
  <c r="N46" i="2"/>
  <c r="O46" i="2"/>
  <c r="P46" i="2"/>
  <c r="M47" i="2"/>
  <c r="N47" i="2"/>
  <c r="O47" i="2"/>
  <c r="P47" i="2"/>
  <c r="M48" i="2"/>
  <c r="N48" i="2"/>
  <c r="O48" i="2"/>
  <c r="P48" i="2"/>
  <c r="M49" i="2"/>
  <c r="N49" i="2"/>
  <c r="O49" i="2"/>
  <c r="P49" i="2"/>
  <c r="M50" i="2"/>
  <c r="N50" i="2"/>
  <c r="O50" i="2"/>
  <c r="P50" i="2"/>
  <c r="M51" i="2"/>
  <c r="N51" i="2"/>
  <c r="O51" i="2"/>
  <c r="P51" i="2"/>
  <c r="M52" i="2"/>
  <c r="N52" i="2"/>
  <c r="O52" i="2"/>
  <c r="P52" i="2"/>
  <c r="M53" i="2"/>
  <c r="N53" i="2"/>
  <c r="O53" i="2"/>
  <c r="P53" i="2"/>
  <c r="M54" i="2"/>
  <c r="N54" i="2"/>
  <c r="O54" i="2"/>
  <c r="P54" i="2"/>
  <c r="M55" i="2"/>
  <c r="N55" i="2"/>
  <c r="O55" i="2"/>
  <c r="P55" i="2"/>
  <c r="M56" i="2"/>
  <c r="N56" i="2"/>
  <c r="O56" i="2"/>
  <c r="P56" i="2"/>
  <c r="M57" i="2"/>
  <c r="N57" i="2"/>
  <c r="O57" i="2"/>
  <c r="P57" i="2"/>
  <c r="M58" i="2"/>
  <c r="N58" i="2"/>
  <c r="O58" i="2"/>
  <c r="P58" i="2"/>
  <c r="M59" i="2"/>
  <c r="N59" i="2"/>
  <c r="O59" i="2"/>
  <c r="P59" i="2"/>
  <c r="M60" i="2"/>
  <c r="N60" i="2"/>
  <c r="O60" i="2"/>
  <c r="P60" i="2"/>
  <c r="M61" i="2"/>
  <c r="N61" i="2"/>
  <c r="O61" i="2"/>
  <c r="P61" i="2"/>
  <c r="M62" i="2"/>
  <c r="N62" i="2"/>
  <c r="O62" i="2"/>
  <c r="P62" i="2"/>
  <c r="M63" i="2"/>
  <c r="N63" i="2"/>
  <c r="O63" i="2"/>
  <c r="P63" i="2"/>
  <c r="M64" i="2"/>
  <c r="N64" i="2"/>
  <c r="O64" i="2"/>
  <c r="P6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U5" i="2"/>
  <c r="B3" i="3" l="1"/>
  <c r="C3" i="3"/>
  <c r="B4" i="3"/>
  <c r="C4" i="3"/>
  <c r="B5" i="3"/>
  <c r="C5" i="3"/>
  <c r="B6" i="3"/>
  <c r="C6" i="3"/>
  <c r="B7" i="3"/>
  <c r="C7" i="3"/>
  <c r="B8" i="3"/>
  <c r="C8" i="3"/>
  <c r="B9" i="3"/>
  <c r="C9" i="3"/>
  <c r="B10" i="3"/>
  <c r="C10" i="3"/>
  <c r="B11" i="3"/>
  <c r="C11" i="3"/>
  <c r="B12" i="3"/>
  <c r="C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V49" i="2" s="1"/>
  <c r="U50" i="2"/>
  <c r="V50" i="2" s="1"/>
  <c r="U51" i="2"/>
  <c r="V51" i="2" s="1"/>
  <c r="U52" i="2"/>
  <c r="V52" i="2" s="1"/>
  <c r="U53" i="2"/>
  <c r="V53" i="2" s="1"/>
  <c r="U54" i="2"/>
  <c r="V54" i="2" s="1"/>
  <c r="U55" i="2"/>
  <c r="V55" i="2" s="1"/>
  <c r="U56" i="2"/>
  <c r="V56" i="2" s="1"/>
  <c r="U57" i="2"/>
  <c r="V57" i="2" s="1"/>
  <c r="U58" i="2"/>
  <c r="V58" i="2" s="1"/>
  <c r="U59" i="2"/>
  <c r="V59" i="2" s="1"/>
  <c r="U60" i="2"/>
  <c r="V60" i="2" s="1"/>
  <c r="U61" i="2"/>
  <c r="V61" i="2" s="1"/>
  <c r="U62" i="2"/>
  <c r="V62" i="2" s="1"/>
  <c r="U63" i="2"/>
  <c r="V63" i="2" s="1"/>
  <c r="U64" i="2"/>
  <c r="V64" i="2" s="1"/>
  <c r="Q49" i="2"/>
  <c r="R49" i="2"/>
  <c r="Q50" i="2"/>
  <c r="R50" i="2"/>
  <c r="Q51" i="2"/>
  <c r="R51" i="2"/>
  <c r="Q52" i="2"/>
  <c r="R52" i="2"/>
  <c r="Q53" i="2"/>
  <c r="R53" i="2"/>
  <c r="Q54" i="2"/>
  <c r="R54" i="2"/>
  <c r="Q55" i="2"/>
  <c r="R55" i="2"/>
  <c r="Q56" i="2"/>
  <c r="R56" i="2"/>
  <c r="Q57" i="2"/>
  <c r="R57" i="2"/>
  <c r="Q58" i="2"/>
  <c r="R58" i="2"/>
  <c r="Q59" i="2"/>
  <c r="R59" i="2"/>
  <c r="Q60" i="2"/>
  <c r="R60" i="2"/>
  <c r="Q61" i="2"/>
  <c r="R61" i="2"/>
  <c r="Q62" i="2"/>
  <c r="R62" i="2"/>
  <c r="Q63" i="2"/>
  <c r="R63" i="2"/>
  <c r="Q64" i="2"/>
  <c r="R64" i="2"/>
  <c r="D60" i="3" l="1"/>
  <c r="D56" i="3"/>
  <c r="D52" i="3"/>
  <c r="D48" i="3"/>
  <c r="D44" i="3"/>
  <c r="D40" i="3"/>
  <c r="D36" i="3"/>
  <c r="D32" i="3"/>
  <c r="D28" i="3"/>
  <c r="D24" i="3"/>
  <c r="D20" i="3"/>
  <c r="D16" i="3"/>
  <c r="D12" i="3"/>
  <c r="D61" i="3"/>
  <c r="D57" i="3"/>
  <c r="D53" i="3"/>
  <c r="D49" i="3"/>
  <c r="D45" i="3"/>
  <c r="D41" i="3"/>
  <c r="D37" i="3"/>
  <c r="D33" i="3"/>
  <c r="D29" i="3"/>
  <c r="D25" i="3"/>
  <c r="D21" i="3"/>
  <c r="D17" i="3"/>
  <c r="D13" i="3"/>
  <c r="D9" i="3"/>
  <c r="D5" i="3"/>
  <c r="D59" i="3"/>
  <c r="D55" i="3"/>
  <c r="D51" i="3"/>
  <c r="D43" i="3"/>
  <c r="D39" i="3"/>
  <c r="D35" i="3"/>
  <c r="D31" i="3"/>
  <c r="D27" i="3"/>
  <c r="D23" i="3"/>
  <c r="D19" i="3"/>
  <c r="D15" i="3"/>
  <c r="D11" i="3"/>
  <c r="D7" i="3"/>
  <c r="D3" i="3"/>
  <c r="D47" i="3"/>
  <c r="D62" i="3"/>
  <c r="D58" i="3"/>
  <c r="D54" i="3"/>
  <c r="D50" i="3"/>
  <c r="D46" i="3"/>
  <c r="D42" i="3"/>
  <c r="D38" i="3"/>
  <c r="D34" i="3"/>
  <c r="D30" i="3"/>
  <c r="D26" i="3"/>
  <c r="D22" i="3"/>
  <c r="D18" i="3"/>
  <c r="D10" i="3"/>
  <c r="D14" i="3"/>
  <c r="D6" i="3"/>
  <c r="D8" i="3"/>
  <c r="D4" i="3"/>
  <c r="Q9" i="2" l="1"/>
  <c r="R9" i="2"/>
  <c r="Q10" i="2"/>
  <c r="R10" i="2"/>
  <c r="Q11" i="2"/>
  <c r="R11" i="2"/>
  <c r="Q12" i="2"/>
  <c r="R12" i="2"/>
  <c r="Q13" i="2"/>
  <c r="R13" i="2"/>
  <c r="Q14" i="2"/>
  <c r="R14" i="2"/>
  <c r="Q15" i="2"/>
  <c r="R15" i="2"/>
  <c r="Q16" i="2"/>
  <c r="R16" i="2"/>
  <c r="Q17" i="2"/>
  <c r="R17" i="2"/>
  <c r="Q18" i="2"/>
  <c r="R18" i="2"/>
  <c r="Q19" i="2"/>
  <c r="R19" i="2"/>
  <c r="Q20" i="2"/>
  <c r="R20" i="2"/>
  <c r="Q21" i="2"/>
  <c r="R21" i="2"/>
  <c r="Q22" i="2"/>
  <c r="R22" i="2"/>
  <c r="Q23" i="2"/>
  <c r="R23" i="2"/>
  <c r="Q24" i="2"/>
  <c r="R24" i="2"/>
  <c r="Q5" i="2"/>
  <c r="R5" i="2"/>
  <c r="Q6" i="2"/>
  <c r="R6" i="2"/>
  <c r="Q7" i="2"/>
  <c r="R7" i="2"/>
  <c r="Q8" i="2"/>
  <c r="R8" i="2"/>
  <c r="V5" i="2" l="1"/>
  <c r="V23" i="2"/>
  <c r="V21" i="2"/>
  <c r="V13" i="2"/>
  <c r="V20" i="2"/>
  <c r="V11" i="2"/>
  <c r="V22" i="2"/>
  <c r="V9" i="2"/>
  <c r="V7" i="2"/>
  <c r="V18" i="2"/>
  <c r="V19" i="2"/>
  <c r="V14" i="2"/>
  <c r="V17" i="2"/>
  <c r="V24" i="2"/>
  <c r="V16" i="2"/>
  <c r="V6" i="2"/>
  <c r="V12" i="2"/>
  <c r="V8" i="2"/>
  <c r="V15" i="2"/>
  <c r="V10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Q25" i="2"/>
  <c r="Q26" i="2"/>
  <c r="V26" i="2" s="1"/>
  <c r="Q27" i="2"/>
  <c r="V27" i="2" s="1"/>
  <c r="Q28" i="2"/>
  <c r="Q29" i="2"/>
  <c r="Q30" i="2"/>
  <c r="Q31" i="2"/>
  <c r="Q32" i="2"/>
  <c r="Q33" i="2"/>
  <c r="Q34" i="2"/>
  <c r="Q35" i="2"/>
  <c r="V35" i="2" s="1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V25" i="2" l="1"/>
  <c r="V44" i="2"/>
  <c r="V36" i="2"/>
  <c r="V43" i="2"/>
  <c r="G41" i="3" s="1"/>
  <c r="V34" i="2"/>
  <c r="G32" i="3" s="1"/>
  <c r="V42" i="2"/>
  <c r="G40" i="3" s="1"/>
  <c r="V33" i="2"/>
  <c r="V41" i="2"/>
  <c r="V32" i="2"/>
  <c r="V48" i="2"/>
  <c r="V40" i="2"/>
  <c r="V31" i="2"/>
  <c r="V47" i="2"/>
  <c r="V39" i="2"/>
  <c r="V30" i="2"/>
  <c r="V46" i="2"/>
  <c r="V38" i="2"/>
  <c r="V29" i="2"/>
  <c r="V45" i="2"/>
  <c r="V37" i="2"/>
  <c r="V28" i="2"/>
  <c r="G8" i="3"/>
  <c r="G33" i="3"/>
  <c r="G24" i="3"/>
  <c r="G16" i="3"/>
  <c r="F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F62" i="3"/>
  <c r="F61" i="3"/>
  <c r="F60" i="3"/>
  <c r="F59" i="3"/>
  <c r="F58" i="3"/>
  <c r="F57" i="3"/>
  <c r="G56" i="3"/>
  <c r="F55" i="3"/>
  <c r="F54" i="3"/>
  <c r="F53" i="3"/>
  <c r="F52" i="3"/>
  <c r="F51" i="3"/>
  <c r="F50" i="3"/>
  <c r="G49" i="3"/>
  <c r="G48" i="3"/>
  <c r="F47" i="3"/>
  <c r="F46" i="3"/>
  <c r="F45" i="3"/>
  <c r="F44" i="3"/>
  <c r="F43" i="3"/>
  <c r="F42" i="3"/>
  <c r="F39" i="3"/>
  <c r="F38" i="3"/>
  <c r="F37" i="3"/>
  <c r="F36" i="3"/>
  <c r="F35" i="3"/>
  <c r="F34" i="3"/>
  <c r="F31" i="3"/>
  <c r="F30" i="3"/>
  <c r="F29" i="3"/>
  <c r="F28" i="3"/>
  <c r="F27" i="3"/>
  <c r="F26" i="3"/>
  <c r="G25" i="3"/>
  <c r="F23" i="3"/>
  <c r="F22" i="3"/>
  <c r="F21" i="3"/>
  <c r="F20" i="3"/>
  <c r="F19" i="3"/>
  <c r="F18" i="3"/>
  <c r="F17" i="3"/>
  <c r="F15" i="3"/>
  <c r="F14" i="3"/>
  <c r="F13" i="3"/>
  <c r="F12" i="3"/>
  <c r="F11" i="3"/>
  <c r="F10" i="3"/>
  <c r="F9" i="3"/>
  <c r="F7" i="3"/>
  <c r="F6" i="3"/>
  <c r="F5" i="3"/>
  <c r="F4" i="3"/>
  <c r="G3" i="3" l="1"/>
  <c r="G5" i="3"/>
  <c r="G12" i="3"/>
  <c r="G4" i="3"/>
  <c r="G7" i="3"/>
  <c r="G6" i="3"/>
  <c r="G21" i="3"/>
  <c r="G53" i="3"/>
  <c r="G26" i="3"/>
  <c r="G31" i="3"/>
  <c r="G58" i="3"/>
  <c r="G61" i="3"/>
  <c r="G42" i="3"/>
  <c r="G47" i="3"/>
  <c r="G10" i="3"/>
  <c r="G37" i="3"/>
  <c r="G43" i="3"/>
  <c r="G11" i="3"/>
  <c r="G27" i="3"/>
  <c r="G51" i="3"/>
  <c r="G19" i="3"/>
  <c r="G35" i="3"/>
  <c r="G29" i="3"/>
  <c r="G23" i="3"/>
  <c r="G39" i="3"/>
  <c r="G55" i="3"/>
  <c r="G18" i="3"/>
  <c r="G34" i="3"/>
  <c r="G45" i="3"/>
  <c r="G13" i="3"/>
  <c r="G60" i="3"/>
  <c r="G50" i="3"/>
  <c r="G15" i="3"/>
  <c r="F8" i="3"/>
  <c r="F16" i="3"/>
  <c r="F24" i="3"/>
  <c r="F32" i="3"/>
  <c r="F40" i="3"/>
  <c r="F48" i="3"/>
  <c r="F56" i="3"/>
  <c r="G14" i="3"/>
  <c r="G22" i="3"/>
  <c r="G30" i="3"/>
  <c r="G38" i="3"/>
  <c r="G46" i="3"/>
  <c r="G54" i="3"/>
  <c r="G62" i="3"/>
  <c r="F49" i="3"/>
  <c r="G17" i="3"/>
  <c r="F25" i="3"/>
  <c r="F33" i="3"/>
  <c r="F41" i="3"/>
  <c r="G20" i="3"/>
  <c r="G28" i="3"/>
  <c r="G36" i="3"/>
  <c r="G44" i="3"/>
  <c r="G52" i="3"/>
  <c r="G59" i="3"/>
  <c r="G9" i="3"/>
  <c r="G57" i="3"/>
</calcChain>
</file>

<file path=xl/sharedStrings.xml><?xml version="1.0" encoding="utf-8"?>
<sst xmlns="http://schemas.openxmlformats.org/spreadsheetml/2006/main" count="90" uniqueCount="53">
  <si>
    <t>Criterio</t>
  </si>
  <si>
    <t>Instrucciones de uso</t>
  </si>
  <si>
    <t>Sobresaliente</t>
  </si>
  <si>
    <t>Consignar puntajes según rúbrica del PA.</t>
  </si>
  <si>
    <t>Puntos</t>
  </si>
  <si>
    <t>Diseñar la retroalimentación según criterios y niveles.</t>
  </si>
  <si>
    <t>C1</t>
  </si>
  <si>
    <t>Criterio 1</t>
  </si>
  <si>
    <t>C2</t>
  </si>
  <si>
    <t>TE</t>
  </si>
  <si>
    <t>Tiempo de entrega</t>
  </si>
  <si>
    <t>Nombre</t>
  </si>
  <si>
    <t>Apellido(s)</t>
  </si>
  <si>
    <t># Grupo</t>
  </si>
  <si>
    <t>Dirección de correo</t>
  </si>
  <si>
    <t>Tarea:Producto Académico N°…</t>
  </si>
  <si>
    <t>Tarea:Producto Académico N°... (Retroalimentación)</t>
  </si>
  <si>
    <t>Asignar los puntajes de acuerdo a la rúbrica de evaluación</t>
  </si>
  <si>
    <t>Copiar la dirección de correo electrónico de los estudiantes</t>
  </si>
  <si>
    <t>Niveles</t>
  </si>
  <si>
    <t>#</t>
  </si>
  <si>
    <t>PA</t>
  </si>
  <si>
    <t>Probidad Académica</t>
  </si>
  <si>
    <t>Descuento</t>
  </si>
  <si>
    <t>Criterio 2</t>
  </si>
  <si>
    <t>Comentario adicional</t>
  </si>
  <si>
    <t>Se recomienda entregar el PA dentro de la fecha oficial y así evitar el descuento de dos puntos.</t>
  </si>
  <si>
    <t>Entregó el PA dentro del plazo establecido.</t>
  </si>
  <si>
    <t>Bueno</t>
  </si>
  <si>
    <t>Insuficiente</t>
  </si>
  <si>
    <t>1</t>
  </si>
  <si>
    <t>2</t>
  </si>
  <si>
    <t>C3</t>
  </si>
  <si>
    <t>3</t>
  </si>
  <si>
    <t>C4</t>
  </si>
  <si>
    <t>4</t>
  </si>
  <si>
    <t>C5</t>
  </si>
  <si>
    <t>En proceso</t>
  </si>
  <si>
    <t>Criterio 3</t>
  </si>
  <si>
    <t>Criterio 4</t>
  </si>
  <si>
    <t>Criterio 5</t>
  </si>
  <si>
    <t>El trabajo presentado va en contra de la probidad académica, por lo que no se tomará en cuenta para su calificación. A continuación se detalla las razones:</t>
  </si>
  <si>
    <t>Total general</t>
  </si>
  <si>
    <t>Nombres y apellidos</t>
  </si>
  <si>
    <t>0 0</t>
  </si>
  <si>
    <t>Notas</t>
  </si>
  <si>
    <t xml:space="preserve">  FEEDBACK</t>
  </si>
  <si>
    <t>CALIFICAR</t>
  </si>
  <si>
    <t xml:space="preserve">  IMPORTAR NOTAS</t>
  </si>
  <si>
    <t>ANALÍTICA</t>
  </si>
  <si>
    <t>5</t>
  </si>
  <si>
    <t>Criterio:
Logro esperado (feedup):
Nivel logrado y puntaje:
Retroalimentación (feedback y feedforward):</t>
  </si>
  <si>
    <t>El trabajo presentado es original.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</si>
</sst>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>
    <font>
      <sz val="11"/>
      <color theme="1"/>
      <name val="Arimo"/>
      <scheme val="minor"/>
    </font>
    <font>
      <b/>
      <sz val="14"/>
      <color theme="1"/>
      <name val="Calibri"/>
      <family val="2"/>
    </font>
    <font>
      <b/>
      <sz val="11"/>
      <color theme="1"/>
      <name val="Arimo"/>
    </font>
    <font>
      <sz val="11"/>
      <color theme="1"/>
      <name val="Arimo"/>
    </font>
    <font>
      <b/>
      <sz val="10"/>
      <color theme="1"/>
      <name val="Arimo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Arimo"/>
    </font>
    <font>
      <b/>
      <sz val="12"/>
      <color theme="1"/>
      <name val="Arial Unicode MS"/>
    </font>
    <font>
      <b/>
      <sz val="14"/>
      <color theme="1"/>
      <name val="Calibri"/>
      <family val="2"/>
    </font>
    <font>
      <sz val="10"/>
      <color theme="1"/>
      <name val="Calibri"/>
      <family val="2"/>
    </font>
    <font>
      <b/>
      <sz val="14"/>
      <name val="Calibri"/>
      <family val="2"/>
    </font>
    <font>
      <b/>
      <sz val="11"/>
      <name val="Arimo"/>
    </font>
    <font>
      <sz val="8"/>
      <name val="Arimo"/>
      <scheme val="minor"/>
    </font>
    <font>
      <b/>
      <sz val="14"/>
      <name val="Arimo"/>
      <scheme val="minor"/>
    </font>
    <font>
      <b/>
      <sz val="9"/>
      <name val="Arimo"/>
      <scheme val="minor"/>
    </font>
    <font>
      <b/>
      <sz val="12"/>
      <name val="Calibri"/>
      <family val="2"/>
    </font>
    <font>
      <b/>
      <sz val="22"/>
      <color theme="0"/>
      <name val="Arimo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FC000"/>
        <bgColor rgb="FFFFC000"/>
      </patternFill>
    </fill>
    <fill>
      <patternFill patternType="solid">
        <fgColor rgb="FFFFE598"/>
        <bgColor rgb="FFFFE598"/>
      </patternFill>
    </fill>
    <fill>
      <patternFill patternType="solid">
        <fgColor rgb="FFE2EFD9"/>
        <bgColor rgb="FFE2EFD9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7" tint="0.79998168889431442"/>
        <bgColor rgb="FFFFE598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Protection="1">
      <protection locked="0"/>
    </xf>
    <xf numFmtId="0" fontId="3" fillId="7" borderId="16" xfId="0" applyFont="1" applyFill="1" applyBorder="1"/>
    <xf numFmtId="0" fontId="3" fillId="7" borderId="18" xfId="0" applyFont="1" applyFill="1" applyBorder="1"/>
    <xf numFmtId="0" fontId="3" fillId="4" borderId="10" xfId="0" applyFont="1" applyFill="1" applyBorder="1" applyProtection="1">
      <protection locked="0"/>
    </xf>
    <xf numFmtId="0" fontId="3" fillId="5" borderId="14" xfId="0" applyFont="1" applyFill="1" applyBorder="1" applyProtection="1">
      <protection locked="0"/>
    </xf>
    <xf numFmtId="0" fontId="3" fillId="0" borderId="13" xfId="0" applyFont="1" applyBorder="1" applyAlignment="1" applyProtection="1">
      <alignment horizontal="center"/>
      <protection locked="0"/>
    </xf>
    <xf numFmtId="0" fontId="2" fillId="0" borderId="13" xfId="0" applyFont="1" applyBorder="1" applyAlignment="1" applyProtection="1">
      <alignment vertical="center" wrapText="1"/>
      <protection locked="0"/>
    </xf>
    <xf numFmtId="0" fontId="2" fillId="0" borderId="13" xfId="0" applyFont="1" applyBorder="1" applyAlignment="1" applyProtection="1">
      <alignment horizontal="center" vertical="center" wrapText="1"/>
      <protection locked="0"/>
    </xf>
    <xf numFmtId="0" fontId="12" fillId="7" borderId="13" xfId="0" applyFont="1" applyFill="1" applyBorder="1" applyAlignment="1" applyProtection="1">
      <alignment horizontal="center" vertical="center" wrapText="1"/>
      <protection locked="0"/>
    </xf>
    <xf numFmtId="0" fontId="12" fillId="7" borderId="20" xfId="0" applyFont="1" applyFill="1" applyBorder="1" applyAlignment="1" applyProtection="1">
      <alignment horizontal="center" vertical="center" wrapText="1"/>
      <protection locked="0"/>
    </xf>
    <xf numFmtId="0" fontId="12" fillId="7" borderId="17" xfId="0" applyFont="1" applyFill="1" applyBorder="1" applyAlignment="1" applyProtection="1">
      <alignment horizontal="center" vertical="center" wrapText="1"/>
      <protection locked="0"/>
    </xf>
    <xf numFmtId="0" fontId="8" fillId="0" borderId="20" xfId="0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Protection="1">
      <protection locked="0"/>
    </xf>
    <xf numFmtId="0" fontId="3" fillId="7" borderId="20" xfId="0" applyFont="1" applyFill="1" applyBorder="1" applyProtection="1">
      <protection locked="0"/>
    </xf>
    <xf numFmtId="0" fontId="3" fillId="7" borderId="7" xfId="0" applyFont="1" applyFill="1" applyBorder="1" applyProtection="1">
      <protection locked="0"/>
    </xf>
    <xf numFmtId="0" fontId="3" fillId="7" borderId="11" xfId="0" applyFont="1" applyFill="1" applyBorder="1" applyProtection="1">
      <protection locked="0"/>
    </xf>
    <xf numFmtId="0" fontId="3" fillId="0" borderId="2" xfId="0" applyFont="1" applyBorder="1" applyProtection="1">
      <protection locked="0"/>
    </xf>
    <xf numFmtId="0" fontId="3" fillId="5" borderId="5" xfId="0" applyFont="1" applyFill="1" applyBorder="1" applyProtection="1">
      <protection locked="0"/>
    </xf>
    <xf numFmtId="0" fontId="0" fillId="8" borderId="0" xfId="0" applyFill="1" applyProtection="1">
      <protection locked="0"/>
    </xf>
    <xf numFmtId="0" fontId="3" fillId="7" borderId="5" xfId="0" applyFont="1" applyFill="1" applyBorder="1" applyProtection="1">
      <protection locked="0"/>
    </xf>
    <xf numFmtId="0" fontId="3" fillId="7" borderId="13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7" borderId="14" xfId="0" applyFont="1" applyFill="1" applyBorder="1" applyProtection="1">
      <protection locked="0"/>
    </xf>
    <xf numFmtId="0" fontId="3" fillId="0" borderId="6" xfId="0" applyFont="1" applyBorder="1" applyProtection="1">
      <protection locked="0"/>
    </xf>
    <xf numFmtId="0" fontId="3" fillId="5" borderId="8" xfId="0" applyFont="1" applyFill="1" applyBorder="1" applyProtection="1">
      <protection locked="0"/>
    </xf>
    <xf numFmtId="0" fontId="12" fillId="7" borderId="22" xfId="0" applyFont="1" applyFill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3" fillId="0" borderId="3" xfId="0" applyFont="1" applyBorder="1"/>
    <xf numFmtId="0" fontId="0" fillId="0" borderId="3" xfId="0" applyBorder="1"/>
    <xf numFmtId="0" fontId="3" fillId="0" borderId="9" xfId="0" applyFont="1" applyBorder="1"/>
    <xf numFmtId="0" fontId="0" fillId="0" borderId="9" xfId="0" applyBorder="1"/>
    <xf numFmtId="0" fontId="12" fillId="5" borderId="23" xfId="0" applyFont="1" applyFill="1" applyBorder="1" applyAlignment="1" applyProtection="1">
      <alignment horizontal="center" vertical="center" wrapText="1"/>
      <protection locked="0"/>
    </xf>
    <xf numFmtId="0" fontId="2" fillId="0" borderId="24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Protection="1">
      <protection hidden="1"/>
    </xf>
    <xf numFmtId="0" fontId="3" fillId="0" borderId="0" xfId="0" applyFont="1" applyProtection="1">
      <protection hidden="1"/>
    </xf>
    <xf numFmtId="1" fontId="3" fillId="0" borderId="21" xfId="0" applyNumberFormat="1" applyFont="1" applyBorder="1" applyAlignment="1" applyProtection="1">
      <alignment horizontal="center"/>
      <protection hidden="1"/>
    </xf>
    <xf numFmtId="0" fontId="3" fillId="8" borderId="12" xfId="0" applyFont="1" applyFill="1" applyBorder="1" applyProtection="1">
      <protection locked="0"/>
    </xf>
    <xf numFmtId="0" fontId="3" fillId="8" borderId="4" xfId="0" applyFont="1" applyFill="1" applyBorder="1" applyProtection="1">
      <protection locked="0"/>
    </xf>
    <xf numFmtId="0" fontId="3" fillId="8" borderId="1" xfId="0" applyFont="1" applyFill="1" applyBorder="1" applyProtection="1">
      <protection locked="0"/>
    </xf>
    <xf numFmtId="0" fontId="3" fillId="8" borderId="2" xfId="0" applyFont="1" applyFill="1" applyBorder="1" applyProtection="1">
      <protection locked="0"/>
    </xf>
    <xf numFmtId="0" fontId="0" fillId="0" borderId="18" xfId="0" applyBorder="1"/>
    <xf numFmtId="0" fontId="0" fillId="0" borderId="14" xfId="0" applyBorder="1"/>
    <xf numFmtId="0" fontId="0" fillId="0" borderId="0" xfId="0" pivotButton="1"/>
    <xf numFmtId="0" fontId="0" fillId="0" borderId="0" xfId="0" applyAlignment="1">
      <alignment horizontal="left"/>
    </xf>
    <xf numFmtId="0" fontId="3" fillId="0" borderId="22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center" wrapText="1"/>
    </xf>
    <xf numFmtId="0" fontId="0" fillId="0" borderId="16" xfId="0" applyBorder="1"/>
    <xf numFmtId="0" fontId="0" fillId="0" borderId="13" xfId="0" applyBorder="1"/>
    <xf numFmtId="164" fontId="3" fillId="0" borderId="13" xfId="0" applyNumberFormat="1" applyFont="1" applyBorder="1" applyAlignment="1">
      <alignment horizontal="center"/>
    </xf>
    <xf numFmtId="0" fontId="3" fillId="0" borderId="17" xfId="0" applyFont="1" applyBorder="1"/>
    <xf numFmtId="164" fontId="3" fillId="0" borderId="14" xfId="0" applyNumberFormat="1" applyFont="1" applyBorder="1" applyAlignment="1">
      <alignment horizontal="center"/>
    </xf>
    <xf numFmtId="0" fontId="3" fillId="0" borderId="19" xfId="0" applyFont="1" applyBorder="1"/>
    <xf numFmtId="2" fontId="0" fillId="0" borderId="0" xfId="0" applyNumberFormat="1"/>
    <xf numFmtId="0" fontId="12" fillId="2" borderId="22" xfId="0" applyFont="1" applyFill="1" applyBorder="1" applyAlignment="1" applyProtection="1">
      <alignment horizontal="center" vertical="center"/>
      <protection locked="0"/>
    </xf>
    <xf numFmtId="0" fontId="11" fillId="2" borderId="20" xfId="0" applyFont="1" applyFill="1" applyBorder="1" applyAlignment="1" applyProtection="1">
      <alignment horizontal="left" vertical="center" wrapText="1"/>
      <protection locked="0"/>
    </xf>
    <xf numFmtId="0" fontId="11" fillId="2" borderId="20" xfId="0" applyFont="1" applyFill="1" applyBorder="1" applyAlignment="1" applyProtection="1">
      <alignment horizontal="center" vertical="center" wrapText="1"/>
      <protection locked="0"/>
    </xf>
    <xf numFmtId="0" fontId="14" fillId="8" borderId="0" xfId="0" applyFont="1" applyFill="1" applyAlignment="1" applyProtection="1">
      <alignment horizontal="left" vertical="center"/>
      <protection locked="0"/>
    </xf>
    <xf numFmtId="0" fontId="2" fillId="2" borderId="16" xfId="0" applyFont="1" applyFill="1" applyBorder="1" applyAlignment="1" applyProtection="1">
      <alignment horizontal="center" vertical="center"/>
      <protection locked="0"/>
    </xf>
    <xf numFmtId="0" fontId="1" fillId="3" borderId="13" xfId="0" applyFont="1" applyFill="1" applyBorder="1" applyAlignment="1" applyProtection="1">
      <alignment vertical="center" wrapText="1"/>
      <protection locked="0"/>
    </xf>
    <xf numFmtId="0" fontId="9" fillId="3" borderId="13" xfId="0" applyFont="1" applyFill="1" applyBorder="1" applyAlignment="1" applyProtection="1">
      <alignment horizontal="center" vertical="center" wrapText="1"/>
      <protection locked="0"/>
    </xf>
    <xf numFmtId="0" fontId="4" fillId="2" borderId="16" xfId="0" applyFont="1" applyFill="1" applyBorder="1" applyAlignment="1" applyProtection="1">
      <alignment horizontal="center" vertical="center"/>
      <protection locked="0"/>
    </xf>
    <xf numFmtId="0" fontId="5" fillId="2" borderId="13" xfId="0" applyFont="1" applyFill="1" applyBorder="1" applyAlignment="1" applyProtection="1">
      <alignment vertical="center" wrapText="1"/>
      <protection locked="0"/>
    </xf>
    <xf numFmtId="0" fontId="6" fillId="7" borderId="13" xfId="0" applyFont="1" applyFill="1" applyBorder="1" applyAlignment="1" applyProtection="1">
      <alignment vertical="center" wrapText="1"/>
      <protection locked="0"/>
    </xf>
    <xf numFmtId="0" fontId="2" fillId="2" borderId="15" xfId="0" applyFont="1" applyFill="1" applyBorder="1" applyAlignment="1" applyProtection="1">
      <alignment horizontal="center" vertical="center"/>
      <protection locked="0"/>
    </xf>
    <xf numFmtId="0" fontId="16" fillId="3" borderId="19" xfId="0" applyFont="1" applyFill="1" applyBorder="1" applyAlignment="1" applyProtection="1">
      <alignment vertical="center" wrapText="1"/>
      <protection locked="0"/>
    </xf>
    <xf numFmtId="0" fontId="11" fillId="3" borderId="19" xfId="0" applyFont="1" applyFill="1" applyBorder="1" applyAlignment="1" applyProtection="1">
      <alignment horizontal="center" vertical="center" wrapText="1"/>
      <protection locked="0"/>
    </xf>
    <xf numFmtId="0" fontId="4" fillId="2" borderId="15" xfId="0" applyFont="1" applyFill="1" applyBorder="1" applyAlignment="1" applyProtection="1">
      <alignment horizontal="center" vertical="center"/>
      <protection locked="0"/>
    </xf>
    <xf numFmtId="0" fontId="10" fillId="2" borderId="19" xfId="0" applyFont="1" applyFill="1" applyBorder="1" applyAlignment="1" applyProtection="1">
      <alignment vertical="center" wrapText="1"/>
      <protection locked="0"/>
    </xf>
    <xf numFmtId="0" fontId="6" fillId="7" borderId="19" xfId="0" applyFont="1" applyFill="1" applyBorder="1" applyAlignment="1" applyProtection="1">
      <alignment horizontal="left" vertical="top" wrapText="1"/>
      <protection locked="0"/>
    </xf>
    <xf numFmtId="0" fontId="6" fillId="7" borderId="19" xfId="0" applyFont="1" applyFill="1" applyBorder="1" applyAlignment="1" applyProtection="1">
      <alignment vertical="top" wrapText="1"/>
      <protection locked="0"/>
    </xf>
    <xf numFmtId="0" fontId="16" fillId="3" borderId="13" xfId="0" applyFont="1" applyFill="1" applyBorder="1" applyAlignment="1" applyProtection="1">
      <alignment vertical="center" wrapText="1"/>
      <protection locked="0"/>
    </xf>
    <xf numFmtId="0" fontId="11" fillId="3" borderId="13" xfId="0" applyFont="1" applyFill="1" applyBorder="1" applyAlignment="1" applyProtection="1">
      <alignment horizontal="center" vertical="center" wrapText="1"/>
      <protection locked="0"/>
    </xf>
    <xf numFmtId="1" fontId="11" fillId="3" borderId="17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18" xfId="0" applyFont="1" applyFill="1" applyBorder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vertical="center" wrapText="1"/>
      <protection locked="0"/>
    </xf>
    <xf numFmtId="0" fontId="6" fillId="7" borderId="14" xfId="0" applyFont="1" applyFill="1" applyBorder="1" applyAlignment="1" applyProtection="1">
      <alignment horizontal="left" vertical="top" wrapText="1"/>
      <protection locked="0"/>
    </xf>
    <xf numFmtId="0" fontId="6" fillId="7" borderId="19" xfId="0" applyFont="1" applyFill="1" applyBorder="1" applyAlignment="1" applyProtection="1">
      <alignment horizontal="left" vertical="center" wrapText="1"/>
      <protection locked="0"/>
    </xf>
    <xf numFmtId="0" fontId="3" fillId="3" borderId="8" xfId="0" applyFont="1" applyFill="1" applyBorder="1"/>
    <xf numFmtId="0" fontId="3" fillId="4" borderId="13" xfId="0" applyFont="1" applyFill="1" applyBorder="1"/>
    <xf numFmtId="0" fontId="15" fillId="8" borderId="0" xfId="0" applyFont="1" applyFill="1" applyAlignment="1">
      <alignment horizontal="left" vertical="center"/>
    </xf>
    <xf numFmtId="0" fontId="17" fillId="6" borderId="0" xfId="0" applyFont="1" applyFill="1" applyAlignment="1">
      <alignment vertical="center"/>
    </xf>
    <xf numFmtId="0" fontId="15" fillId="8" borderId="17" xfId="0" applyFont="1" applyFill="1" applyBorder="1" applyAlignment="1">
      <alignment horizontal="left" vertical="center"/>
    </xf>
    <xf numFmtId="0" fontId="15" fillId="8" borderId="21" xfId="0" applyFont="1" applyFill="1" applyBorder="1" applyAlignment="1">
      <alignment horizontal="left" vertical="center"/>
    </xf>
    <xf numFmtId="0" fontId="15" fillId="8" borderId="16" xfId="0" applyFont="1" applyFill="1" applyBorder="1" applyAlignment="1">
      <alignment horizontal="left" vertical="center"/>
    </xf>
    <xf numFmtId="0" fontId="17" fillId="6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</cellXfs>
  <cellStyles count="1">
    <cellStyle name="Normal" xfId="0" builtinId="0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164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theme="0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0" formatCode="General"/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0" formatCode="General"/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0" formatCode="General"/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0" formatCode="General"/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0" formatCode="General"/>
      <fill>
        <patternFill patternType="solid">
          <fgColor rgb="FFFFE598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mo"/>
        <scheme val="none"/>
      </font>
      <fill>
        <patternFill patternType="solid">
          <fgColor rgb="FFFFE598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E2EFD9"/>
          <bgColor rgb="FFE2EFD9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top style="thin">
          <color indexed="64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E2EFD9"/>
          <bgColor rgb="FFE2EFD9"/>
        </patternFill>
      </fill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mo"/>
        <scheme val="none"/>
      </font>
      <fill>
        <patternFill patternType="solid">
          <fgColor rgb="FFE2EFD9"/>
          <bgColor rgb="FFE2EFD9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>
          <bgColor theme="7" tint="0.79998168889431442"/>
        </patternFill>
      </fill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mo"/>
        <scheme val="none"/>
      </font>
      <fill>
        <patternFill patternType="solid">
          <fgColor rgb="FFFFE598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top style="thin">
          <color indexed="64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  <protection locked="1" hidden="1"/>
    </dxf>
    <dxf>
      <border outline="0">
        <top style="thin">
          <color rgb="FF000000"/>
        </top>
      </border>
    </dxf>
    <dxf>
      <border diagonalUp="0" diagonalDown="0">
        <left/>
        <right style="thin">
          <color rgb="FF000000"/>
        </right>
        <top style="thin">
          <color indexed="64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alignment horizontal="general" vertical="bottom" textRotation="0" wrapText="1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1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1" formatCode="0"/>
      <alignment horizontal="center" vertical="bottom" textRotation="0" wrapText="0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minor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border outline="0">
        <top style="thin">
          <color rgb="FF000000"/>
        </top>
      </border>
    </dxf>
    <dxf>
      <border diagonalUp="0" diagonalDown="0">
        <left/>
        <top style="thin">
          <color rgb="FF000000"/>
        </top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mo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mo"/>
        <scheme val="none"/>
      </font>
      <fill>
        <patternFill patternType="solid">
          <fgColor rgb="FFFFE598"/>
          <bgColor theme="7" tint="0.79998168889431442"/>
        </patternFill>
      </fill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mo"/>
        <scheme val="none"/>
      </font>
      <fill>
        <patternFill patternType="solid">
          <fgColor rgb="FFFFE598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mo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mo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FFE598"/>
          <bgColor theme="7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FFE598"/>
          <bgColor theme="7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FFE598"/>
          <bgColor theme="7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FFE598"/>
          <bgColor theme="7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rgb="FFD8D8D8"/>
          <bgColor rgb="FFD8D8D8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mo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FFE598"/>
          <bgColor theme="7" tint="0.79998168889431442"/>
        </patternFill>
      </fill>
      <alignment horizontal="general" vertical="center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</dxfs>
  <tableStyles count="0" defaultTableStyle="TableStyleMedium2" defaultPivotStyle="PivotStyleLight16"/>
  <colors>
    <mruColors>
      <color rgb="FF263C18"/>
      <color rgb="FF203966"/>
      <color rgb="FF27457B"/>
      <color rgb="FF2D5C8F"/>
      <color rgb="FF3974B5"/>
      <color rgb="FFFFBC15"/>
      <color rgb="FFC28B02"/>
      <color rgb="FFFDB8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Histograma de notas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800" b="1"/>
          </a:pPr>
          <a:r>
            <a:rPr lang="es-MX" sz="1800" b="1" i="0" u="none" strike="noStrike" baseline="0">
              <a:solidFill>
                <a:srgbClr val="000000">
                  <a:lumMod val="65000"/>
                  <a:lumOff val="35000"/>
                </a:srgbClr>
              </a:solidFill>
              <a:latin typeface="Arimo"/>
            </a:rPr>
            <a:t>Histograma de notas</a:t>
          </a:r>
        </a:p>
      </cx:txPr>
    </cx:title>
    <cx:plotArea>
      <cx:plotAreaRegion>
        <cx:series layoutId="clusteredColumn" uniqueId="{84048078-9F0E-4397-B816-6788932B8AEC}"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50" b="1"/>
                </a:pPr>
                <a:endParaRPr lang="es-MX" sz="1050" b="1" i="0" u="none" strike="noStrike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Arimo"/>
                </a:endParaRPr>
              </a:p>
            </cx:txPr>
            <cx:visibility seriesName="0" categoryName="0" value="1"/>
          </cx:dataLabels>
          <cx:dataId val="0"/>
          <cx:layoutPr>
            <cx:binning intervalClosed="r">
              <cx:binCount val="10"/>
            </cx:binning>
          </cx:layoutPr>
        </cx:series>
      </cx:plotAreaRegion>
      <cx:axis id="0">
        <cx:catScaling gapWidth="0"/>
        <cx:title>
          <cx:tx>
            <cx:txData>
              <cx:v>Rango de notas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s-MX" sz="1200" b="0" i="0" u="none" strike="noStrike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Arimo"/>
                </a:rPr>
                <a:t>Rango de notas</a:t>
              </a:r>
            </a:p>
          </cx:txPr>
        </cx:title>
        <cx:tickLabels/>
      </cx:axis>
      <cx:axis id="1">
        <cx:valScaling/>
        <cx:title>
          <cx:tx>
            <cx:txData>
              <cx:v>Cantidad de estudiantes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s-MX" sz="1200" b="0" i="0" u="none" strike="noStrike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Arimo"/>
                </a:rPr>
                <a:t>Cantidad de estudiantes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594867</xdr:colOff>
      <xdr:row>9</xdr:row>
      <xdr:rowOff>151319</xdr:rowOff>
    </xdr:from>
    <xdr:to>
      <xdr:col>2</xdr:col>
      <xdr:colOff>896336</xdr:colOff>
      <xdr:row>11</xdr:row>
      <xdr:rowOff>161925</xdr:rowOff>
    </xdr:to>
    <xdr:sp macro="[0]!Quitar_Criter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213992" y="1237169"/>
          <a:ext cx="1044419" cy="505906"/>
        </a:xfrm>
        <a:prstGeom prst="roundRect">
          <a:avLst>
            <a:gd name="adj" fmla="val 0"/>
          </a:avLst>
        </a:prstGeom>
        <a:solidFill>
          <a:schemeClr val="bg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PE" sz="1100" b="1">
              <a:solidFill>
                <a:schemeClr val="tx1"/>
              </a:solidFill>
              <a:latin typeface="+mn-lt"/>
              <a:ea typeface="+mn-ea"/>
              <a:cs typeface="+mn-cs"/>
            </a:rPr>
            <a:t>Quitar criterio</a:t>
          </a:r>
        </a:p>
        <a:p>
          <a:pPr marL="0" indent="0" algn="ctr"/>
          <a:r>
            <a:rPr lang="es-PE" sz="14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</a:t>
          </a:r>
          <a:endParaRPr lang="es-PE" sz="14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788552</xdr:colOff>
      <xdr:row>9</xdr:row>
      <xdr:rowOff>138266</xdr:rowOff>
    </xdr:from>
    <xdr:to>
      <xdr:col>6</xdr:col>
      <xdr:colOff>9046</xdr:colOff>
      <xdr:row>11</xdr:row>
      <xdr:rowOff>168992</xdr:rowOff>
    </xdr:to>
    <xdr:sp macro="[0]!Agregar_nivel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16939" y="1221351"/>
          <a:ext cx="1140857" cy="522339"/>
        </a:xfrm>
        <a:prstGeom prst="roundRect">
          <a:avLst>
            <a:gd name="adj" fmla="val 0"/>
          </a:avLst>
        </a:prstGeom>
        <a:solidFill>
          <a:schemeClr val="bg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PE" sz="1100" b="1">
              <a:solidFill>
                <a:schemeClr val="tx1"/>
              </a:solidFill>
              <a:latin typeface="+mn-lt"/>
              <a:ea typeface="+mn-ea"/>
              <a:cs typeface="+mn-cs"/>
            </a:rPr>
            <a:t>Agregar nivel</a:t>
          </a:r>
        </a:p>
        <a:p>
          <a:pPr marL="0" indent="0" algn="ctr"/>
          <a:r>
            <a:rPr lang="es-PE" sz="1100" b="1">
              <a:solidFill>
                <a:schemeClr val="tx1"/>
              </a:solidFill>
              <a:latin typeface="+mn-lt"/>
              <a:ea typeface="+mn-ea"/>
              <a:cs typeface="+mn-cs"/>
            </a:rPr>
            <a:t>&gt;&gt;</a:t>
          </a:r>
        </a:p>
      </xdr:txBody>
    </xdr:sp>
    <xdr:clientData/>
  </xdr:twoCellAnchor>
  <xdr:twoCellAnchor editAs="oneCell">
    <xdr:from>
      <xdr:col>4</xdr:col>
      <xdr:colOff>1513843</xdr:colOff>
      <xdr:row>9</xdr:row>
      <xdr:rowOff>145947</xdr:rowOff>
    </xdr:from>
    <xdr:to>
      <xdr:col>5</xdr:col>
      <xdr:colOff>715054</xdr:colOff>
      <xdr:row>11</xdr:row>
      <xdr:rowOff>170259</xdr:rowOff>
    </xdr:to>
    <xdr:sp macro="[0]!EliminarNivelEnTablaFeedback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/>
        </xdr:cNvSpPr>
      </xdr:nvSpPr>
      <xdr:spPr>
        <a:xfrm>
          <a:off x="6721867" y="1229032"/>
          <a:ext cx="1121574" cy="515925"/>
        </a:xfrm>
        <a:prstGeom prst="roundRect">
          <a:avLst>
            <a:gd name="adj" fmla="val 0"/>
          </a:avLst>
        </a:prstGeom>
        <a:solidFill>
          <a:schemeClr val="bg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PE" sz="1100" b="1">
              <a:solidFill>
                <a:schemeClr val="tx1"/>
              </a:solidFill>
              <a:latin typeface="+mn-lt"/>
              <a:ea typeface="+mn-ea"/>
              <a:cs typeface="+mn-cs"/>
            </a:rPr>
            <a:t>Quitar nivel</a:t>
          </a:r>
        </a:p>
        <a:p>
          <a:pPr marL="0" indent="0" algn="ctr"/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&lt;&lt;</a:t>
          </a:r>
          <a:endParaRPr lang="es-PE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19302</xdr:colOff>
      <xdr:row>9</xdr:row>
      <xdr:rowOff>149007</xdr:rowOff>
    </xdr:from>
    <xdr:to>
      <xdr:col>1</xdr:col>
      <xdr:colOff>492673</xdr:colOff>
      <xdr:row>11</xdr:row>
      <xdr:rowOff>152400</xdr:rowOff>
    </xdr:to>
    <xdr:sp macro="[0]!Agregar_Criterio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9302" y="1234857"/>
          <a:ext cx="1092496" cy="498693"/>
        </a:xfrm>
        <a:prstGeom prst="roundRect">
          <a:avLst>
            <a:gd name="adj" fmla="val 0"/>
          </a:avLst>
        </a:prstGeom>
        <a:solidFill>
          <a:schemeClr val="bg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PE" sz="1100" b="1">
              <a:solidFill>
                <a:schemeClr val="tx1"/>
              </a:solidFill>
              <a:latin typeface="+mn-lt"/>
              <a:ea typeface="+mn-ea"/>
              <a:cs typeface="+mn-cs"/>
            </a:rPr>
            <a:t>Agregar criterio </a:t>
          </a:r>
          <a:r>
            <a:rPr lang="es-PE" sz="1200" b="1">
              <a:solidFill>
                <a:schemeClr val="tx1"/>
              </a:solidFill>
              <a:latin typeface="+mn-lt"/>
              <a:ea typeface="+mn-ea"/>
              <a:cs typeface="+mn-cs"/>
            </a:rPr>
            <a:t>+</a:t>
          </a:r>
        </a:p>
      </xdr:txBody>
    </xdr:sp>
    <xdr:clientData/>
  </xdr:twoCellAnchor>
  <xdr:twoCellAnchor editAs="absolute">
    <xdr:from>
      <xdr:col>8</xdr:col>
      <xdr:colOff>1321084</xdr:colOff>
      <xdr:row>0</xdr:row>
      <xdr:rowOff>0</xdr:rowOff>
    </xdr:from>
    <xdr:to>
      <xdr:col>8</xdr:col>
      <xdr:colOff>1717902</xdr:colOff>
      <xdr:row>1</xdr:row>
      <xdr:rowOff>3575</xdr:rowOff>
    </xdr:to>
    <xdr:pic macro="[0]!IrASiguienteHoja">
      <xdr:nvPicPr>
        <xdr:cNvPr id="11" name="Gráfico 10" descr="Chevron arrows con relleno sólido">
          <a:extLst>
            <a:ext uri="{FF2B5EF4-FFF2-40B4-BE49-F238E27FC236}">
              <a16:creationId xmlns:a16="http://schemas.microsoft.com/office/drawing/2014/main" id="{4295BDCD-82DB-6B0A-3741-0AA9922CA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30861" y="0"/>
          <a:ext cx="396818" cy="3437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762000</xdr:colOff>
      <xdr:row>0</xdr:row>
      <xdr:rowOff>9525</xdr:rowOff>
    </xdr:from>
    <xdr:to>
      <xdr:col>21</xdr:col>
      <xdr:colOff>1158818</xdr:colOff>
      <xdr:row>1</xdr:row>
      <xdr:rowOff>13100</xdr:rowOff>
    </xdr:to>
    <xdr:pic macro="[0]!IrASiguienteHoja">
      <xdr:nvPicPr>
        <xdr:cNvPr id="4" name="Gráfico 3" descr="Chevron arrows con relleno sólido">
          <a:extLst>
            <a:ext uri="{FF2B5EF4-FFF2-40B4-BE49-F238E27FC236}">
              <a16:creationId xmlns:a16="http://schemas.microsoft.com/office/drawing/2014/main" id="{F026354B-3F23-4723-9767-B67D96BB3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01775" y="9525"/>
          <a:ext cx="396818" cy="346475"/>
        </a:xfrm>
        <a:prstGeom prst="rect">
          <a:avLst/>
        </a:prstGeom>
      </xdr:spPr>
    </xdr:pic>
    <xdr:clientData/>
  </xdr:twoCellAnchor>
  <xdr:twoCellAnchor editAs="absolute">
    <xdr:from>
      <xdr:col>1</xdr:col>
      <xdr:colOff>28575</xdr:colOff>
      <xdr:row>0</xdr:row>
      <xdr:rowOff>0</xdr:rowOff>
    </xdr:from>
    <xdr:to>
      <xdr:col>1</xdr:col>
      <xdr:colOff>428625</xdr:colOff>
      <xdr:row>1</xdr:row>
      <xdr:rowOff>6397</xdr:rowOff>
    </xdr:to>
    <xdr:pic macro="[0]!IrAHojaAnterior">
      <xdr:nvPicPr>
        <xdr:cNvPr id="5" name="Gráfico 4" descr="Chevron arrows con relleno sólido">
          <a:extLst>
            <a:ext uri="{FF2B5EF4-FFF2-40B4-BE49-F238E27FC236}">
              <a16:creationId xmlns:a16="http://schemas.microsoft.com/office/drawing/2014/main" id="{EEEA18B7-DE78-4689-9CD9-81F88BB4A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247650" y="0"/>
          <a:ext cx="400050" cy="34929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47065</xdr:colOff>
      <xdr:row>0</xdr:row>
      <xdr:rowOff>85725</xdr:rowOff>
    </xdr:from>
    <xdr:to>
      <xdr:col>10</xdr:col>
      <xdr:colOff>265253</xdr:colOff>
      <xdr:row>1</xdr:row>
      <xdr:rowOff>209412</xdr:rowOff>
    </xdr:to>
    <xdr:sp macro="[0]!CopiarTablaConContenid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201150" y="85725"/>
          <a:ext cx="1124183" cy="466587"/>
        </a:xfrm>
        <a:prstGeom prst="roundRect">
          <a:avLst>
            <a:gd name="adj" fmla="val 0"/>
          </a:avLst>
        </a:prstGeom>
        <a:solidFill>
          <a:schemeClr val="bg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PE" sz="1100" b="1">
              <a:solidFill>
                <a:schemeClr val="tx1"/>
              </a:solidFill>
              <a:latin typeface="+mn-lt"/>
              <a:ea typeface="+mn-ea"/>
              <a:cs typeface="+mn-cs"/>
            </a:rPr>
            <a:t>Copiar notas</a:t>
          </a:r>
        </a:p>
      </xdr:txBody>
    </xdr:sp>
    <xdr:clientData/>
  </xdr:twoCellAnchor>
  <xdr:twoCellAnchor editAs="absolute">
    <xdr:from>
      <xdr:col>6</xdr:col>
      <xdr:colOff>1571625</xdr:colOff>
      <xdr:row>0</xdr:row>
      <xdr:rowOff>9525</xdr:rowOff>
    </xdr:from>
    <xdr:to>
      <xdr:col>6</xdr:col>
      <xdr:colOff>1968443</xdr:colOff>
      <xdr:row>1</xdr:row>
      <xdr:rowOff>13100</xdr:rowOff>
    </xdr:to>
    <xdr:pic macro="[0]!IrASiguienteHoja">
      <xdr:nvPicPr>
        <xdr:cNvPr id="9" name="Gráfico 8" descr="Chevron arrows con relleno sólido">
          <a:extLst>
            <a:ext uri="{FF2B5EF4-FFF2-40B4-BE49-F238E27FC236}">
              <a16:creationId xmlns:a16="http://schemas.microsoft.com/office/drawing/2014/main" id="{EC13DE3C-817D-4C78-9720-71393C3B9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82025" y="9525"/>
          <a:ext cx="396818" cy="346475"/>
        </a:xfrm>
        <a:prstGeom prst="rect">
          <a:avLst/>
        </a:prstGeom>
      </xdr:spPr>
    </xdr:pic>
    <xdr:clientData/>
  </xdr:twoCellAnchor>
  <xdr:twoCellAnchor editAs="absolute">
    <xdr:from>
      <xdr:col>3</xdr:col>
      <xdr:colOff>161925</xdr:colOff>
      <xdr:row>0</xdr:row>
      <xdr:rowOff>0</xdr:rowOff>
    </xdr:from>
    <xdr:to>
      <xdr:col>3</xdr:col>
      <xdr:colOff>561975</xdr:colOff>
      <xdr:row>1</xdr:row>
      <xdr:rowOff>6397</xdr:rowOff>
    </xdr:to>
    <xdr:pic macro="[0]!IrAHojaAnterior">
      <xdr:nvPicPr>
        <xdr:cNvPr id="10" name="Gráfico 9" descr="Chevron arrows con relleno sólido">
          <a:extLst>
            <a:ext uri="{FF2B5EF4-FFF2-40B4-BE49-F238E27FC236}">
              <a16:creationId xmlns:a16="http://schemas.microsoft.com/office/drawing/2014/main" id="{E9201587-ED42-4CEE-B0DD-32EE736F6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466725" y="0"/>
          <a:ext cx="400050" cy="34929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252412</xdr:colOff>
      <xdr:row>2</xdr:row>
      <xdr:rowOff>38100</xdr:rowOff>
    </xdr:from>
    <xdr:to>
      <xdr:col>5</xdr:col>
      <xdr:colOff>1743075</xdr:colOff>
      <xdr:row>21</xdr:row>
      <xdr:rowOff>37148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Gráfico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412" y="600075"/>
              <a:ext cx="8281988" cy="34661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152400</xdr:colOff>
      <xdr:row>0</xdr:row>
      <xdr:rowOff>9525</xdr:rowOff>
    </xdr:from>
    <xdr:to>
      <xdr:col>0</xdr:col>
      <xdr:colOff>552450</xdr:colOff>
      <xdr:row>1</xdr:row>
      <xdr:rowOff>6397</xdr:rowOff>
    </xdr:to>
    <xdr:pic macro="[0]!IrAHojaAnterior">
      <xdr:nvPicPr>
        <xdr:cNvPr id="9" name="Gráfico 8" descr="Chevron arrows con relleno sólido">
          <a:extLst>
            <a:ext uri="{FF2B5EF4-FFF2-40B4-BE49-F238E27FC236}">
              <a16:creationId xmlns:a16="http://schemas.microsoft.com/office/drawing/2014/main" id="{34EC61A9-0CF9-4FB1-BE72-4DA962C5F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flipH="1">
          <a:off x="152400" y="9525"/>
          <a:ext cx="400050" cy="349297"/>
        </a:xfrm>
        <a:prstGeom prst="rect">
          <a:avLst/>
        </a:prstGeom>
      </xdr:spPr>
    </xdr:pic>
    <xdr:clientData/>
  </xdr:twoCellAnchor>
  <xdr:twoCellAnchor editAs="absolute">
    <xdr:from>
      <xdr:col>4</xdr:col>
      <xdr:colOff>9525</xdr:colOff>
      <xdr:row>21</xdr:row>
      <xdr:rowOff>171450</xdr:rowOff>
    </xdr:from>
    <xdr:to>
      <xdr:col>4</xdr:col>
      <xdr:colOff>1142113</xdr:colOff>
      <xdr:row>24</xdr:row>
      <xdr:rowOff>95112</xdr:rowOff>
    </xdr:to>
    <xdr:sp macro="[0]!Actualizar_Tabl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E12DBFE-18EF-411F-B0CA-6E87F538BCEF}"/>
            </a:ext>
          </a:extLst>
        </xdr:cNvPr>
        <xdr:cNvSpPr/>
      </xdr:nvSpPr>
      <xdr:spPr>
        <a:xfrm>
          <a:off x="4714875" y="4200525"/>
          <a:ext cx="1132588" cy="466587"/>
        </a:xfrm>
        <a:prstGeom prst="roundRect">
          <a:avLst>
            <a:gd name="adj" fmla="val 0"/>
          </a:avLst>
        </a:prstGeom>
        <a:solidFill>
          <a:schemeClr val="bg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PE" sz="1100" b="1">
              <a:solidFill>
                <a:schemeClr val="tx1"/>
              </a:solidFill>
              <a:latin typeface="+mn-lt"/>
              <a:ea typeface="+mn-ea"/>
              <a:cs typeface="+mn-cs"/>
            </a:rPr>
            <a:t>Actualizar tabla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146.659598726852" createdVersion="8" refreshedVersion="8" minRefreshableVersion="3" recordCount="60" xr:uid="{BC236C32-40BE-44AE-A384-7753DD7BC689}">
  <cacheSource type="worksheet">
    <worksheetSource name="Tabla12[[Nombres y apellidos]:[Tarea:Producto Académico N°... (Retroalimentación)]]"/>
  </cacheSource>
  <cacheFields count="4">
    <cacheField name="Nombres y apellidos" numFmtId="0">
      <sharedItems count="45">
        <s v="0 0"/>
        <s v="JHONY EDWIN CAHUAPAZA, VELARDE" u="1"/>
        <s v="JOSÉ ÁNGEL MENESES, JIMÉNEZ" u="1"/>
        <s v="ROLANDO LAZARO QUISPE, GARCIA" u="1"/>
        <s v="YURIKO LAUDA HUANCA, POBLETE" u="1"/>
        <s v="YESICA LIMA, HUILLCA" u="1"/>
        <s v="GUSTAVO OSCAR CUTIPA, PEREZ" u="1"/>
        <s v="MARCO ANTONIO ORDAYA, ASTUCURI" u="1"/>
        <s v="MIGUEL ANGEL ZAMBRANO, CCANCCE" u="1"/>
        <s v="SANDY ESTEFANI COILA, AQUISE" u="1"/>
        <s v="SALLY DAANNA RODRIGUEZ, CIPRIAN" u="1"/>
        <s v="TANIA RIMAC, CAQUI" u="1"/>
        <s v="RICHAR GARCIA, DIAZ" u="1"/>
        <s v="JULIO CESAR SUAREZ, BRIONES" u="1"/>
        <s v="ALEJANDRO ANTONIO SEGURA, ALFARO" u="1"/>
        <s v="MAEL EMILL GRANADOS, VILLEGAS" u="1"/>
        <s v="KETTY IVONNE ATOCHE, ATO" u="1"/>
        <s v="LUZ MARIBEL MENDOZA, PRADO" u="1"/>
        <s v="ALBERTO LUIS ZAPATA, YANA" u="1"/>
        <s v="MIRTHA NATALI MENDOZA, RODRÍGUEZ" u="1"/>
        <s v="HEULER RUIZ, GOYZUETA" u="1"/>
        <s v="CARLOS YUDIÑO QUISPE, QQUECAÑO" u="1"/>
        <s v="DIANA ELIZABETH REQUEJO, ESPINOZA" u="1"/>
        <s v="LUZ ANABEL RUIZ, ORTIZ" u="1"/>
        <s v="PAUL DANIEL MENDOZA, HUARAYCHIRI" u="1"/>
        <s v="LIZ SAORI RIVERA, PALOMINO" u="1"/>
        <s v="EDILFONSO CONDOR, MACHACUAY" u="1"/>
        <s v="RAUL WILLIAMS BERAUN, DIAZ" u="1"/>
        <s v="CARLOS EDUARDO VARAS, PEREZ" u="1"/>
        <s v="YURITZA JESENIA CERNA, MATIENZO" u="1"/>
        <s v="RONALD JOSÉ CHÁVEZ, RODRÍGUEZ" u="1"/>
        <s v="LUCIA MILAGROS NAKIALLA CACERES, DENEGRI" u="1"/>
        <s v="FARIDE CAROLINA CACERES, GARRIDO" u="1"/>
        <s v="FIDEL DAVID PACCO, COTACALLAPA" u="1"/>
        <s v="LUIS YONEL MONTENEGRO, INGA" u="1"/>
        <s v="JUAN CESAR CACERES, DEL AGUILA" u="1"/>
        <s v="IRMA HUANCACURI, QUISPE" u="1"/>
        <s v="CINTHIA YANA, CANSAYA" u="1"/>
        <s v="EDGAR ALFREDO GONZALES, HUISA" u="1"/>
        <s v="CLAUDIA MILAGROS CABREJO, CONDOR" u="1"/>
        <s v="ANDREA ELISA HUAMAN, HUAMAN" u="1"/>
        <s v="MILENA BALVIN, CASTILLO" u="1"/>
        <s v="ROCIO NATALY CAMACHO, HUAMAN" u="1"/>
        <s v="ELVIS VANDER VILLAR, ROJAS" u="1"/>
        <s v="CECILIA MEDINA, GARCIA" u="1"/>
      </sharedItems>
    </cacheField>
    <cacheField name="Dirección de correo" numFmtId="0">
      <sharedItems containsSemiMixedTypes="0" containsString="0" containsNumber="1" containsInteger="1" minValue="0" maxValue="0"/>
    </cacheField>
    <cacheField name="Tarea:Producto Académico N°…" numFmtId="164">
      <sharedItems containsSemiMixedTypes="0" containsString="0" containsNumber="1" containsInteger="1" minValue="0" maxValue="0"/>
    </cacheField>
    <cacheField name="Tarea:Producto Académico N°... (Retroalimentación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  <r>
    <x v="0"/>
    <n v="0"/>
    <n v="0"/>
    <s v="No presentó el P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C516AB-1ADE-423D-A093-D5B04E6BDA68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Nombres y apellidos">
  <location ref="B23:C25" firstHeaderRow="1" firstDataRow="1" firstDataCol="1"/>
  <pivotFields count="4">
    <pivotField axis="axisRow" showAll="0" sortType="ascending" defaultSubtotal="0">
      <items count="45">
        <item x="0"/>
        <item m="1" x="18"/>
        <item m="1" x="14"/>
        <item m="1" x="40"/>
        <item m="1" x="28"/>
        <item m="1" x="21"/>
        <item m="1" x="44"/>
        <item m="1" x="37"/>
        <item m="1" x="39"/>
        <item m="1" x="22"/>
        <item m="1" x="38"/>
        <item m="1" x="26"/>
        <item m="1" x="43"/>
        <item m="1" x="32"/>
        <item m="1" x="33"/>
        <item m="1" x="6"/>
        <item m="1" x="20"/>
        <item m="1" x="36"/>
        <item m="1" x="1"/>
        <item m="1" x="2"/>
        <item m="1" x="35"/>
        <item m="1" x="13"/>
        <item m="1" x="16"/>
        <item m="1" x="25"/>
        <item m="1" x="31"/>
        <item m="1" x="34"/>
        <item m="1" x="23"/>
        <item m="1" x="17"/>
        <item m="1" x="15"/>
        <item m="1" x="7"/>
        <item m="1" x="8"/>
        <item m="1" x="41"/>
        <item m="1" x="19"/>
        <item m="1" x="24"/>
        <item m="1" x="27"/>
        <item m="1" x="12"/>
        <item m="1" x="42"/>
        <item m="1" x="3"/>
        <item m="1" x="30"/>
        <item m="1" x="10"/>
        <item m="1" x="9"/>
        <item m="1" x="11"/>
        <item m="1" x="5"/>
        <item m="1" x="4"/>
        <item m="1" x="2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164" showAll="0"/>
    <pivotField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Notas" fld="2" subtotal="average" baseField="0" baseItem="0" numFmtId="2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4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BCAB178-AA86-41C1-ABDB-FB8A5D7EEF4B}" name="Tabla1" displayName="Tabla1" ref="A13:F19" totalsRowShown="0" headerRowDxfId="102" dataDxfId="100" headerRowBorderDxfId="101" tableBorderDxfId="99" totalsRowBorderDxfId="98">
  <autoFilter ref="A13:F19" xr:uid="{3BCAB178-AA86-41C1-ABDB-FB8A5D7EEF4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5C6151A-023D-4FC8-AA3A-9463D38DAED9}" name="#" dataDxfId="97"/>
    <tableColumn id="2" xr3:uid="{2114BAC8-AE75-4A26-B4DD-305EE7305681}" name="Niveles" dataDxfId="96"/>
    <tableColumn id="3" xr3:uid="{9ABB8898-A6B0-4108-8D0D-B2826263602B}" name="Sobresaliente" dataDxfId="95"/>
    <tableColumn id="26" xr3:uid="{CCC1DB8E-8D2C-40E1-8853-33D144D9E0E6}" name="Bueno" dataDxfId="94"/>
    <tableColumn id="12" xr3:uid="{0A390757-E73D-406E-B75D-20EA455E8C7F}" name="En proceso" dataDxfId="93"/>
    <tableColumn id="43" xr3:uid="{4E903764-7699-4DAC-9444-10485EB9B703}" name="Insuficiente" dataDxfId="9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64474E6-6EFD-4559-9107-8295D64BDED9}" name="Tabla2" displayName="Tabla2" ref="A6:D7" headerRowCount="0" totalsRowShown="0" headerRowDxfId="91" dataDxfId="90" tableBorderDxfId="89">
  <tableColumns count="4">
    <tableColumn id="1" xr3:uid="{F6582BF2-663D-44B7-A11E-87D0AA0FFFEE}" name="#" headerRowDxfId="88" dataDxfId="87"/>
    <tableColumn id="2" xr3:uid="{DE5FFAA1-AA95-4293-9C62-596DE2ADBBEF}" name="Niveles" headerRowDxfId="86" dataDxfId="85"/>
    <tableColumn id="3" xr3:uid="{19D3AC78-5C60-40A4-9DBE-36FE8A361E33}" name="Sin descuento" headerRowDxfId="84" dataDxfId="83"/>
    <tableColumn id="4" xr3:uid="{A3CAD4F5-EE33-44CC-B2C7-5A6F9877A870}" name="Con descuento" headerRowDxfId="82" dataDxfId="8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62B2F24-3EFE-4185-91CC-DC8F6DE22571}" name="Tabla3" displayName="Tabla3" ref="A8:D9" headerRowCount="0" totalsRowShown="0" headerRowDxfId="80" dataDxfId="78" headerRowBorderDxfId="79" tableBorderDxfId="77" totalsRowBorderDxfId="76">
  <tableColumns count="4">
    <tableColumn id="1" xr3:uid="{27F12162-835D-4DA6-A83E-98AC1C44CA0D}" name="#" headerRowDxfId="75" dataDxfId="74"/>
    <tableColumn id="2" xr3:uid="{85A1241F-7654-4B14-AD33-608E79877B63}" name="Niveles" headerRowDxfId="73" dataDxfId="72"/>
    <tableColumn id="3" xr3:uid="{C33B96FF-40D3-45CD-AB7F-A1E78A385206}" name="Sin descuento" headerRowDxfId="71" dataDxfId="70"/>
    <tableColumn id="4" xr3:uid="{426B3A38-51E8-4A41-8088-D5FFAAD39F4E}" name="Con descuento" headerRowDxfId="69" dataDxfId="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81A0948-8B1D-431C-89EC-011E42DAEB2D}" name="Tabla5" displayName="Tabla5" ref="J4:K64" totalsRowShown="0" headerRowDxfId="67" dataDxfId="65" headerRowBorderDxfId="66" tableBorderDxfId="64" totalsRowBorderDxfId="63">
  <autoFilter ref="J4:K64" xr:uid="{B81A0948-8B1D-431C-89EC-011E42DAEB2D}">
    <filterColumn colId="0" hiddenButton="1"/>
    <filterColumn colId="1" hiddenButton="1"/>
  </autoFilter>
  <tableColumns count="2">
    <tableColumn id="1" xr3:uid="{CD6FDB4C-CA8C-4991-BF1B-DF5964A6E2CF}" name="TE" dataDxfId="62"/>
    <tableColumn id="2" xr3:uid="{B2F93F95-E2FE-4256-BB45-4B57FA675C95}" name="PA" dataDxfId="6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595D29C-E14D-456B-913C-2B85A937D8BE}" name="Tabla7" displayName="Tabla7" ref="Q4:R64" totalsRowShown="0" headerRowDxfId="60" dataDxfId="58" headerRowBorderDxfId="59" tableBorderDxfId="57" totalsRowBorderDxfId="56">
  <autoFilter ref="Q4:R64" xr:uid="{0595D29C-E14D-456B-913C-2B85A937D8BE}">
    <filterColumn colId="0" hiddenButton="1"/>
    <filterColumn colId="1" hiddenButton="1"/>
  </autoFilter>
  <tableColumns count="2">
    <tableColumn id="1" xr3:uid="{8D8AB126-D225-43BC-97B2-25B0CB05FF3E}" name="TE" dataDxfId="55">
      <calculatedColumnFormula>HLOOKUP(Tabla5[[#This Row],[TE]],Tabla2[],2,FALSE)</calculatedColumnFormula>
    </tableColumn>
    <tableColumn id="2" xr3:uid="{639D2FA5-F356-42A8-92CE-C71ECCD1E69B}" name="PA" dataDxfId="54">
      <calculatedColumnFormula>HLOOKUP(Tabla5[[#This Row],[PA]],Tabla3[],2,FALSE)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C2ACBC3-F0D7-41A1-995A-664693334518}" name="Tabla8" displayName="Tabla8" ref="U4:U64" totalsRowShown="0" headerRowDxfId="53" dataDxfId="51" headerRowBorderDxfId="52" tableBorderDxfId="50" totalsRowBorderDxfId="49">
  <autoFilter ref="U4:U64" xr:uid="{2C2ACBC3-F0D7-41A1-995A-664693334518}">
    <filterColumn colId="0" hiddenButton="1"/>
  </autoFilter>
  <tableColumns count="1">
    <tableColumn id="1" xr3:uid="{4DA2B24B-A585-4DBC-A4DC-4F5B4B655CD6}" name="Tarea:Producto Académico N°…" dataDxfId="48">
      <calculatedColumnFormula>IF(Tabla5[[#This Row],[PA]]=-20,0.001,IF(SUM(Tabla4[#This Row])=0,0,SUM(Tabla4[#This Row])*20/(MAX(Tabla1[#All])*COUNTA(Tabla4[#Headers]))+Tabla5[[#This Row],[TE]]+Tabla5[[#This Row],[PA]]))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3133E67-9366-41E4-A9C8-857EFD989013}" name="Tabla9" displayName="Tabla9" ref="V4:V64" totalsRowShown="0" headerRowDxfId="47" dataDxfId="45" headerRowBorderDxfId="46" tableBorderDxfId="44" totalsRowBorderDxfId="43">
  <autoFilter ref="V4:V64" xr:uid="{73133E67-9366-41E4-A9C8-857EFD989013}">
    <filterColumn colId="0" hiddenButton="1"/>
  </autoFilter>
  <tableColumns count="1">
    <tableColumn id="1" xr3:uid="{DD0C2A9C-966A-4EAB-9990-D4318D7A8D76}" name="Tarea:Producto Académico N°... (Retroalimentación)" dataDxfId="42">
      <calculatedColumnFormula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0C6644-F95E-4493-8D56-5A4E0FE2E9F2}" name="Tabla10" displayName="Tabla10" ref="S4:S64" totalsRowShown="0" headerRowDxfId="41" dataDxfId="39" headerRowBorderDxfId="40" tableBorderDxfId="38" totalsRowBorderDxfId="37">
  <autoFilter ref="S4:S64" xr:uid="{D30C6644-F95E-4493-8D56-5A4E0FE2E9F2}">
    <filterColumn colId="0" hiddenButton="1"/>
  </autoFilter>
  <tableColumns count="1">
    <tableColumn id="1" xr3:uid="{21A56F70-CD1E-404C-82F9-FD48628518D3}" name="Comentario adicional" dataDxfId="36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83CFD9E-C6D9-4B0D-935D-29D04B0E3973}" name="Tabla4" displayName="Tabla4" ref="E4:I64" totalsRowShown="0" headerRowDxfId="35" dataDxfId="33" headerRowBorderDxfId="34" tableBorderDxfId="32" totalsRowBorderDxfId="31">
  <autoFilter ref="E4:I64" xr:uid="{683CFD9E-C6D9-4B0D-935D-29D04B0E3973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46C0B4C-9478-4B57-B870-02532C7D6420}" name="C1" dataDxfId="30"/>
    <tableColumn id="2" xr3:uid="{2F507894-3F8B-45D1-9B77-DB72AE7DDE3C}" name="C2" dataDxfId="29"/>
    <tableColumn id="32" xr3:uid="{08B1018E-C17D-4179-8EAA-DEFE17C85913}" name="C3" dataDxfId="28"/>
    <tableColumn id="18" xr3:uid="{3C284132-4EFC-4DC2-AD48-1AEE155F3058}" name="C4" dataDxfId="27"/>
    <tableColumn id="7" xr3:uid="{8F8EC4C3-B2CD-4ED6-B258-CCE41E827985}" name="C5" dataDxfId="2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EEEEFF-D819-4A45-9FF3-69E0D4C651CA}" name="Tabla11" displayName="Tabla11" ref="T4:T64" totalsRowShown="0" headerRowDxfId="25" dataDxfId="23" headerRowBorderDxfId="24" tableBorderDxfId="22" totalsRowBorderDxfId="21">
  <autoFilter ref="T4:T64" xr:uid="{39EEEEFF-D819-4A45-9FF3-69E0D4C651CA}">
    <filterColumn colId="0" hiddenButton="1"/>
  </autoFilter>
  <tableColumns count="1">
    <tableColumn id="1" xr3:uid="{AC7EC827-02FB-4CD7-A9F2-40D9F3F10519}" name="Dirección de correo" dataDxfId="2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CBD9D14-59CC-42AE-A380-D72873405999}" name="Tabla6" displayName="Tabla6" ref="L4:P64" totalsRowShown="0" headerRowDxfId="19" dataDxfId="17" headerRowBorderDxfId="18" tableBorderDxfId="16" totalsRowBorderDxfId="15">
  <autoFilter ref="L4:P64" xr:uid="{7CBD9D14-59CC-42AE-A380-D7287340599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16027B4-0C3F-429E-B0CD-7BEACF1E1914}" name="1" dataDxfId="14">
      <calculatedColumnFormula>"
"&amp;HLOOKUP(Tabla4[[#This Row],[C1]],Tabla1[],Tabla6[[#Headers],[1]]+1,FALSE)</calculatedColumnFormula>
    </tableColumn>
    <tableColumn id="2" xr3:uid="{BE8B8C4E-29A0-4E45-BFD4-48632C7B79F4}" name="2" dataDxfId="13">
      <calculatedColumnFormula>"
"&amp;HLOOKUP(Tabla4[[#This Row],[C2]],Tabla1[],Tabla6[[#Headers],[2]]+1,FALSE)</calculatedColumnFormula>
    </tableColumn>
    <tableColumn id="32" xr3:uid="{BFF771D5-5846-45B1-BC17-C7996C01211E}" name="3" dataDxfId="12">
      <calculatedColumnFormula>"
"&amp;HLOOKUP(Tabla4[[#This Row],[C3]],Tabla1[],Tabla6[[#Headers],[3]]+1,FALSE)</calculatedColumnFormula>
    </tableColumn>
    <tableColumn id="18" xr3:uid="{134B9F1D-F96A-4F49-A05D-28EE0DC230B0}" name="4" dataDxfId="11">
      <calculatedColumnFormula>"
"&amp;HLOOKUP(Tabla4[[#This Row],[C4]],Tabla1[],Tabla6[[#Headers],[4]]+1,FALSE)</calculatedColumnFormula>
    </tableColumn>
    <tableColumn id="7" xr3:uid="{F3984C61-5208-402C-ACF3-CB271A38A064}" name="5" dataDxfId="10">
      <calculatedColumnFormula>"
"&amp;HLOOKUP(Tabla4[[#This Row],[C5]],Tabla1[],Tabla6[[#Headers],[5]]+1,FALSE)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659424B-109F-44D2-9FA5-D445B2350319}" name="Tabla12" displayName="Tabla12" ref="B2:G62" totalsRowShown="0" headerRowDxfId="9" headerRowBorderDxfId="8" tableBorderDxfId="7" totalsRowBorderDxfId="6">
  <autoFilter ref="B2:G62" xr:uid="{0659424B-109F-44D2-9FA5-D445B2350319}"/>
  <tableColumns count="6">
    <tableColumn id="4" xr3:uid="{5335D67C-2A26-4AD9-B86B-C44DB50A6DC1}" name="Nombre" dataDxfId="5">
      <calculatedColumnFormula>Calificar!B5</calculatedColumnFormula>
    </tableColumn>
    <tableColumn id="5" xr3:uid="{2DDAA4AE-BF2E-4323-9B33-F3E15D7752D6}" name="Apellido(s)" dataDxfId="4">
      <calculatedColumnFormula>Calificar!C5</calculatedColumnFormula>
    </tableColumn>
    <tableColumn id="6" xr3:uid="{A5B7D1C1-DA7B-4D84-86B3-1685F7CDA663}" name="Nombres y apellidos" dataDxfId="3">
      <calculatedColumnFormula>CONCATENATE(Tabla12[[#This Row],[Nombre]]," ",Tabla12[[#This Row],[Apellido(s)]])</calculatedColumnFormula>
    </tableColumn>
    <tableColumn id="1" xr3:uid="{6F39EF68-5C4C-4DDD-9FC4-68E8E88458D0}" name="Dirección de correo" dataDxfId="2">
      <calculatedColumnFormula>Calificar!T5</calculatedColumnFormula>
    </tableColumn>
    <tableColumn id="2" xr3:uid="{53D01D29-EF58-43BF-92CA-8FDE93E49F93}" name="Tarea:Producto Académico N°…" dataDxfId="1">
      <calculatedColumnFormula>Calificar!U5</calculatedColumnFormula>
    </tableColumn>
    <tableColumn id="3" xr3:uid="{F210D456-C942-4090-AFCD-2D85495EB553}" name="Tarea:Producto Académico N°... (Retroalimentación)" dataDxfId="0">
      <calculatedColumnFormula>Calificar!V5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mo"/>
        <a:ea typeface="Arimo"/>
        <a:cs typeface="Arimo"/>
      </a:majorFont>
      <a:minorFont>
        <a:latin typeface="Arimo"/>
        <a:ea typeface="Arimo"/>
        <a:cs typeface="Arim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70C0"/>
  </sheetPr>
  <dimension ref="A1:M934"/>
  <sheetViews>
    <sheetView showGridLines="0" tabSelected="1" view="pageBreakPreview" topLeftCell="A12" zoomScaleNormal="100" zoomScaleSheetLayoutView="100" workbookViewId="0">
      <selection activeCell="B16" sqref="B16"/>
    </sheetView>
  </sheetViews>
  <sheetFormatPr baseColWidth="10" defaultColWidth="12.625" defaultRowHeight="15" customHeight="1"/>
  <cols>
    <col min="1" max="1" width="8.125" style="1" customWidth="1"/>
    <col min="2" max="2" width="9.75" style="1" customWidth="1"/>
    <col min="3" max="6" width="25.25" style="1" customWidth="1"/>
    <col min="7" max="15" width="25.375" style="1" customWidth="1"/>
    <col min="16" max="16" width="12.625" style="1"/>
    <col min="17" max="17" width="12.625" style="1" customWidth="1"/>
    <col min="18" max="16384" width="12.625" style="1"/>
  </cols>
  <sheetData>
    <row r="1" spans="1:13" customFormat="1" ht="27" customHeight="1">
      <c r="A1" s="87" t="s">
        <v>46</v>
      </c>
      <c r="B1" s="87"/>
      <c r="C1" s="87"/>
      <c r="D1" s="87"/>
      <c r="E1" s="87"/>
      <c r="F1" s="87"/>
      <c r="G1" s="87"/>
      <c r="H1" s="87"/>
      <c r="I1" s="87"/>
    </row>
    <row r="2" spans="1:13" customFormat="1" ht="19.5" customHeight="1">
      <c r="A2" s="88" t="s">
        <v>1</v>
      </c>
      <c r="B2" s="88"/>
      <c r="C2" s="88"/>
      <c r="D2" s="88"/>
    </row>
    <row r="3" spans="1:13" customFormat="1" ht="19.5" customHeight="1">
      <c r="A3" s="80"/>
      <c r="B3" s="84" t="s">
        <v>3</v>
      </c>
      <c r="C3" s="85"/>
      <c r="D3" s="86"/>
    </row>
    <row r="4" spans="1:13" customFormat="1" ht="19.5" customHeight="1">
      <c r="A4" s="81"/>
      <c r="B4" s="84" t="s">
        <v>5</v>
      </c>
      <c r="C4" s="85"/>
      <c r="D4" s="86"/>
    </row>
    <row r="5" spans="1:13" customFormat="1" ht="19.5" customHeight="1">
      <c r="A5" s="82"/>
      <c r="B5" s="82"/>
      <c r="C5" s="82"/>
      <c r="D5" s="82"/>
    </row>
    <row r="6" spans="1:13" customFormat="1" ht="19.5" customHeight="1">
      <c r="A6" s="66" t="s">
        <v>0</v>
      </c>
      <c r="B6" s="67" t="s">
        <v>23</v>
      </c>
      <c r="C6" s="68">
        <v>0</v>
      </c>
      <c r="D6" s="68">
        <v>-2</v>
      </c>
    </row>
    <row r="7" spans="1:13" customFormat="1" ht="38.25">
      <c r="A7" s="69" t="s">
        <v>9</v>
      </c>
      <c r="B7" s="70" t="s">
        <v>10</v>
      </c>
      <c r="C7" s="71" t="s">
        <v>27</v>
      </c>
      <c r="D7" s="72" t="s">
        <v>26</v>
      </c>
    </row>
    <row r="8" spans="1:13" customFormat="1" ht="19.5" customHeight="1">
      <c r="A8" s="60" t="s">
        <v>0</v>
      </c>
      <c r="B8" s="73" t="s">
        <v>23</v>
      </c>
      <c r="C8" s="74">
        <v>0</v>
      </c>
      <c r="D8" s="75">
        <v>-20</v>
      </c>
    </row>
    <row r="9" spans="1:13" customFormat="1" ht="63.75">
      <c r="A9" s="76" t="s">
        <v>21</v>
      </c>
      <c r="B9" s="77" t="s">
        <v>22</v>
      </c>
      <c r="C9" s="78" t="s">
        <v>52</v>
      </c>
      <c r="D9" s="79" t="s">
        <v>41</v>
      </c>
    </row>
    <row r="10" spans="1:13" customFormat="1" ht="19.5" customHeight="1"/>
    <row r="11" spans="1:13" customFormat="1" ht="19.5" customHeight="1"/>
    <row r="12" spans="1:13" customFormat="1" ht="18.75" customHeight="1"/>
    <row r="13" spans="1:13" ht="18.75">
      <c r="A13" s="56" t="s">
        <v>20</v>
      </c>
      <c r="B13" s="57" t="s">
        <v>19</v>
      </c>
      <c r="C13" s="58" t="s">
        <v>2</v>
      </c>
      <c r="D13" s="58" t="s">
        <v>28</v>
      </c>
      <c r="E13" s="58" t="s">
        <v>37</v>
      </c>
      <c r="F13" s="58" t="s">
        <v>29</v>
      </c>
      <c r="K13" s="59"/>
      <c r="L13" s="19"/>
      <c r="M13" s="19"/>
    </row>
    <row r="14" spans="1:13" ht="14.25" customHeight="1">
      <c r="A14" s="60" t="s">
        <v>0</v>
      </c>
      <c r="B14" s="61" t="s">
        <v>4</v>
      </c>
      <c r="C14" s="62">
        <v>3</v>
      </c>
      <c r="D14" s="62">
        <v>2</v>
      </c>
      <c r="E14" s="62">
        <v>1</v>
      </c>
      <c r="F14" s="62">
        <v>0</v>
      </c>
    </row>
    <row r="15" spans="1:13" ht="63.75">
      <c r="A15" s="63" t="s">
        <v>6</v>
      </c>
      <c r="B15" s="64" t="s">
        <v>7</v>
      </c>
      <c r="C15" s="65" t="s">
        <v>51</v>
      </c>
      <c r="D15" s="65" t="s">
        <v>51</v>
      </c>
      <c r="E15" s="65" t="s">
        <v>51</v>
      </c>
      <c r="F15" s="65" t="s">
        <v>51</v>
      </c>
    </row>
    <row r="16" spans="1:13" ht="63.75">
      <c r="A16" s="63" t="s">
        <v>8</v>
      </c>
      <c r="B16" s="64" t="s">
        <v>24</v>
      </c>
      <c r="C16" s="65" t="s">
        <v>51</v>
      </c>
      <c r="D16" s="65" t="s">
        <v>51</v>
      </c>
      <c r="E16" s="65" t="s">
        <v>51</v>
      </c>
      <c r="F16" s="65" t="s">
        <v>51</v>
      </c>
    </row>
    <row r="17" spans="1:6" ht="63.75">
      <c r="A17" s="63" t="s">
        <v>32</v>
      </c>
      <c r="B17" s="64" t="s">
        <v>38</v>
      </c>
      <c r="C17" s="65" t="s">
        <v>51</v>
      </c>
      <c r="D17" s="65" t="s">
        <v>51</v>
      </c>
      <c r="E17" s="65" t="s">
        <v>51</v>
      </c>
      <c r="F17" s="65" t="s">
        <v>51</v>
      </c>
    </row>
    <row r="18" spans="1:6" ht="63.75">
      <c r="A18" s="63" t="s">
        <v>34</v>
      </c>
      <c r="B18" s="64" t="s">
        <v>39</v>
      </c>
      <c r="C18" s="65" t="s">
        <v>51</v>
      </c>
      <c r="D18" s="65" t="s">
        <v>51</v>
      </c>
      <c r="E18" s="65" t="s">
        <v>51</v>
      </c>
      <c r="F18" s="65" t="s">
        <v>51</v>
      </c>
    </row>
    <row r="19" spans="1:6" ht="63.75">
      <c r="A19" s="63" t="s">
        <v>36</v>
      </c>
      <c r="B19" s="64" t="s">
        <v>40</v>
      </c>
      <c r="C19" s="65" t="s">
        <v>51</v>
      </c>
      <c r="D19" s="65" t="s">
        <v>51</v>
      </c>
      <c r="E19" s="65" t="s">
        <v>51</v>
      </c>
      <c r="F19" s="65" t="s">
        <v>51</v>
      </c>
    </row>
    <row r="20" spans="1:6" ht="14.25"/>
    <row r="21" spans="1:6" ht="14.25"/>
    <row r="22" spans="1:6" ht="14.25"/>
    <row r="23" spans="1:6" ht="14.25"/>
    <row r="24" spans="1:6" ht="14.25"/>
    <row r="25" spans="1:6" ht="14.25"/>
    <row r="26" spans="1:6" ht="14.25"/>
    <row r="27" spans="1:6" ht="14.25"/>
    <row r="28" spans="1:6" ht="14.25"/>
    <row r="29" spans="1:6" ht="14.25"/>
    <row r="30" spans="1:6" ht="14.25"/>
    <row r="31" spans="1:6" ht="14.25"/>
    <row r="32" spans="1:6" ht="14.25"/>
    <row r="33" ht="14.25"/>
    <row r="34" ht="14.25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</sheetData>
  <mergeCells count="4">
    <mergeCell ref="B3:D3"/>
    <mergeCell ref="B4:D4"/>
    <mergeCell ref="A1:I1"/>
    <mergeCell ref="A2:D2"/>
  </mergeCells>
  <phoneticPr fontId="13" type="noConversion"/>
  <pageMargins left="0.7" right="0.7" top="0.75" bottom="0.75" header="0" footer="0"/>
  <pageSetup paperSize="9" scale="36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2D050"/>
  </sheetPr>
  <dimension ref="A1:AI64"/>
  <sheetViews>
    <sheetView showGridLines="0" zoomScale="80" zoomScaleNormal="100" zoomScaleSheetLayoutView="100" workbookViewId="0">
      <selection activeCell="T18" sqref="T18"/>
    </sheetView>
  </sheetViews>
  <sheetFormatPr baseColWidth="10" defaultColWidth="12.625" defaultRowHeight="15" customHeight="1"/>
  <cols>
    <col min="1" max="1" width="2.875" style="1" customWidth="1"/>
    <col min="2" max="2" width="24.875" style="1" customWidth="1"/>
    <col min="3" max="3" width="26.5" style="1" customWidth="1"/>
    <col min="4" max="4" width="7.5" style="1" customWidth="1"/>
    <col min="5" max="11" width="3.875" style="1" customWidth="1"/>
    <col min="12" max="18" width="3.875" style="1" hidden="1" customWidth="1"/>
    <col min="19" max="19" width="46.625" style="1" customWidth="1"/>
    <col min="20" max="20" width="25.75" style="1" customWidth="1"/>
    <col min="21" max="21" width="15.125" style="1" customWidth="1"/>
    <col min="22" max="22" width="18.625" style="1" customWidth="1"/>
    <col min="23" max="23" width="9" style="1" customWidth="1"/>
    <col min="24" max="24" width="18.625" style="1" customWidth="1"/>
    <col min="25" max="25" width="9" style="1" customWidth="1"/>
    <col min="26" max="26" width="18.625" style="1" customWidth="1"/>
    <col min="27" max="27" width="9" style="1" customWidth="1"/>
    <col min="28" max="28" width="18.625" style="1" customWidth="1"/>
    <col min="29" max="29" width="9" style="1" customWidth="1"/>
    <col min="30" max="31" width="18.625" style="1" customWidth="1"/>
    <col min="32" max="32" width="9" style="1" customWidth="1"/>
    <col min="33" max="33" width="18.625" style="1" customWidth="1"/>
    <col min="34" max="34" width="9" style="1" customWidth="1"/>
    <col min="35" max="35" width="18.625" style="1" customWidth="1"/>
    <col min="36" max="36" width="9" style="1" customWidth="1"/>
    <col min="37" max="37" width="18.625" style="1" customWidth="1"/>
    <col min="38" max="38" width="9" style="1" customWidth="1"/>
    <col min="39" max="39" width="18.625" style="1" customWidth="1"/>
    <col min="40" max="40" width="9" style="1" customWidth="1"/>
    <col min="41" max="41" width="18.625" style="1" customWidth="1"/>
    <col min="42" max="42" width="9" style="1" customWidth="1"/>
    <col min="43" max="43" width="18.625" style="1" customWidth="1"/>
    <col min="44" max="44" width="9" style="1" customWidth="1"/>
    <col min="45" max="45" width="18.625" style="1" customWidth="1"/>
    <col min="46" max="46" width="9" style="1" customWidth="1"/>
    <col min="47" max="47" width="18.625" style="1" customWidth="1"/>
    <col min="48" max="48" width="9" style="1" customWidth="1"/>
    <col min="49" max="16384" width="12.625" style="1"/>
  </cols>
  <sheetData>
    <row r="1" spans="1:35" ht="27" customHeight="1">
      <c r="A1" s="87" t="s">
        <v>47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</row>
    <row r="2" spans="1:35" ht="18" customHeight="1">
      <c r="A2" s="4"/>
      <c r="B2" s="84" t="s">
        <v>17</v>
      </c>
      <c r="C2" s="85"/>
      <c r="D2" s="86"/>
    </row>
    <row r="3" spans="1:35" ht="18" customHeight="1">
      <c r="A3" s="5"/>
      <c r="B3" s="84" t="s">
        <v>18</v>
      </c>
      <c r="C3" s="85"/>
      <c r="D3" s="86"/>
    </row>
    <row r="4" spans="1:35" ht="46.5" customHeight="1">
      <c r="A4" s="6"/>
      <c r="B4" s="7" t="s">
        <v>11</v>
      </c>
      <c r="C4" s="7" t="s">
        <v>12</v>
      </c>
      <c r="D4" s="8" t="s">
        <v>13</v>
      </c>
      <c r="E4" s="9" t="s">
        <v>6</v>
      </c>
      <c r="F4" s="9" t="s">
        <v>8</v>
      </c>
      <c r="G4" s="10" t="s">
        <v>32</v>
      </c>
      <c r="H4" s="10" t="s">
        <v>34</v>
      </c>
      <c r="I4" s="10" t="s">
        <v>36</v>
      </c>
      <c r="J4" s="9" t="s">
        <v>9</v>
      </c>
      <c r="K4" s="11" t="s">
        <v>21</v>
      </c>
      <c r="L4" s="26" t="s">
        <v>30</v>
      </c>
      <c r="M4" s="26" t="s">
        <v>31</v>
      </c>
      <c r="N4" s="26" t="s">
        <v>33</v>
      </c>
      <c r="O4" s="26" t="s">
        <v>35</v>
      </c>
      <c r="P4" s="26" t="s">
        <v>50</v>
      </c>
      <c r="Q4" s="27" t="s">
        <v>9</v>
      </c>
      <c r="R4" s="28" t="s">
        <v>21</v>
      </c>
      <c r="S4" s="12" t="s">
        <v>25</v>
      </c>
      <c r="T4" s="33" t="s">
        <v>14</v>
      </c>
      <c r="U4" s="34" t="s">
        <v>15</v>
      </c>
      <c r="V4" s="34" t="s">
        <v>16</v>
      </c>
    </row>
    <row r="5" spans="1:35" ht="14.25" customHeight="1">
      <c r="A5" s="13">
        <v>1</v>
      </c>
      <c r="B5" s="38"/>
      <c r="C5" s="39"/>
      <c r="D5" s="13"/>
      <c r="E5" s="14"/>
      <c r="F5" s="14"/>
      <c r="G5" s="14"/>
      <c r="H5" s="14"/>
      <c r="I5" s="14"/>
      <c r="J5" s="15"/>
      <c r="K5" s="16"/>
      <c r="L5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5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5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5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5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5" s="29" t="str">
        <f>HLOOKUP(Tabla5[[#This Row],[TE]],Tabla2[],2,FALSE)</f>
        <v>Entregó el PA dentro del plazo establecido.</v>
      </c>
      <c r="R5" s="30" t="str">
        <f>HLOOKUP(Tabla5[[#This Row],[PA]],Tabla3[],2,FALSE)</f>
        <v>El trabajo presentado es original.</v>
      </c>
      <c r="S5" s="17"/>
      <c r="T5" s="18"/>
      <c r="U5" s="37">
        <f>IF(Tabla5[[#This Row],[PA]]=-20,0.001,IF(SUM(Tabla4[#This Row])=0,0,SUM(Tabla4[#This Row])*20/(MAX(Tabla1[#All])*COUNTA(Tabla4[#Headers]))+Tabla5[[#This Row],[TE]]+Tabla5[[#This Row],[PA]]))</f>
        <v>0</v>
      </c>
      <c r="V5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6" spans="1:35" ht="14.25" customHeight="1">
      <c r="A6" s="17">
        <v>2</v>
      </c>
      <c r="B6" s="40"/>
      <c r="C6" s="41"/>
      <c r="D6" s="17"/>
      <c r="E6" s="14"/>
      <c r="F6" s="14"/>
      <c r="G6" s="14"/>
      <c r="H6" s="14"/>
      <c r="I6" s="21"/>
      <c r="J6" s="15"/>
      <c r="K6" s="20"/>
      <c r="L6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6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6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6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6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6" s="29" t="str">
        <f>HLOOKUP(Tabla5[[#This Row],[TE]],Tabla2[],2,FALSE)</f>
        <v>Entregó el PA dentro del plazo establecido.</v>
      </c>
      <c r="R6" s="30" t="str">
        <f>HLOOKUP(Tabla5[[#This Row],[PA]],Tabla3[],2,FALSE)</f>
        <v>El trabajo presentado es original.</v>
      </c>
      <c r="S6" s="17"/>
      <c r="T6" s="18"/>
      <c r="U6" s="37">
        <f>IF(Tabla5[[#This Row],[PA]]=-20,0.001,IF(SUM(Tabla4[#This Row])=0,0,SUM(Tabla4[#This Row])*20/(MAX(Tabla1[#All])*COUNTA(Tabla4[#Headers]))+Tabla5[[#This Row],[TE]]+Tabla5[[#This Row],[PA]]))</f>
        <v>0</v>
      </c>
      <c r="V6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7" spans="1:35" ht="14.25" customHeight="1">
      <c r="A7" s="17">
        <v>3</v>
      </c>
      <c r="B7" s="40"/>
      <c r="C7" s="41"/>
      <c r="D7" s="17"/>
      <c r="E7" s="14"/>
      <c r="F7" s="14"/>
      <c r="G7" s="14"/>
      <c r="H7" s="14"/>
      <c r="I7" s="21"/>
      <c r="J7" s="15"/>
      <c r="K7" s="20"/>
      <c r="L7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7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7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7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7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7" s="29" t="str">
        <f>HLOOKUP(Tabla5[[#This Row],[TE]],Tabla2[],2,FALSE)</f>
        <v>Entregó el PA dentro del plazo establecido.</v>
      </c>
      <c r="R7" s="30" t="str">
        <f>HLOOKUP(Tabla5[[#This Row],[PA]],Tabla3[],2,FALSE)</f>
        <v>El trabajo presentado es original.</v>
      </c>
      <c r="S7" s="17"/>
      <c r="T7" s="18"/>
      <c r="U7" s="37">
        <f>IF(Tabla5[[#This Row],[PA]]=-20,0.001,IF(SUM(Tabla4[#This Row])=0,0,SUM(Tabla4[#This Row])*20/(MAX(Tabla1[#All])*COUNTA(Tabla4[#Headers]))+Tabla5[[#This Row],[TE]]+Tabla5[[#This Row],[PA]]))</f>
        <v>0</v>
      </c>
      <c r="V7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8" spans="1:35" ht="14.25" customHeight="1">
      <c r="A8" s="17">
        <v>4</v>
      </c>
      <c r="B8" s="40"/>
      <c r="C8" s="41"/>
      <c r="D8" s="17"/>
      <c r="E8" s="14"/>
      <c r="F8" s="14"/>
      <c r="G8" s="14"/>
      <c r="H8" s="14"/>
      <c r="I8" s="21"/>
      <c r="J8" s="15"/>
      <c r="K8" s="20"/>
      <c r="L8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8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8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8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8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8" s="29" t="str">
        <f>HLOOKUP(Tabla5[[#This Row],[TE]],Tabla2[],2,FALSE)</f>
        <v>Entregó el PA dentro del plazo establecido.</v>
      </c>
      <c r="R8" s="30" t="str">
        <f>HLOOKUP(Tabla5[[#This Row],[PA]],Tabla3[],2,FALSE)</f>
        <v>El trabajo presentado es original.</v>
      </c>
      <c r="S8" s="17"/>
      <c r="T8" s="18"/>
      <c r="U8" s="37">
        <f>IF(Tabla5[[#This Row],[PA]]=-20,0.001,IF(SUM(Tabla4[#This Row])=0,0,SUM(Tabla4[#This Row])*20/(MAX(Tabla1[#All])*COUNTA(Tabla4[#Headers]))+Tabla5[[#This Row],[TE]]+Tabla5[[#This Row],[PA]]))</f>
        <v>0</v>
      </c>
      <c r="V8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9" spans="1:35" ht="14.25" customHeight="1">
      <c r="A9" s="17">
        <v>5</v>
      </c>
      <c r="B9" s="40"/>
      <c r="C9" s="41"/>
      <c r="D9" s="17"/>
      <c r="E9" s="14"/>
      <c r="F9" s="14"/>
      <c r="G9" s="14"/>
      <c r="H9" s="14"/>
      <c r="I9" s="21"/>
      <c r="J9" s="15"/>
      <c r="K9" s="20"/>
      <c r="L9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9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9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9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9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9" s="29" t="str">
        <f>HLOOKUP(Tabla5[[#This Row],[TE]],Tabla2[],2,FALSE)</f>
        <v>Entregó el PA dentro del plazo establecido.</v>
      </c>
      <c r="R9" s="30" t="str">
        <f>HLOOKUP(Tabla5[[#This Row],[PA]],Tabla3[],2,FALSE)</f>
        <v>El trabajo presentado es original.</v>
      </c>
      <c r="S9" s="17"/>
      <c r="T9" s="18"/>
      <c r="U9" s="37">
        <f>IF(Tabla5[[#This Row],[PA]]=-20,0.001,IF(SUM(Tabla4[#This Row])=0,0,SUM(Tabla4[#This Row])*20/(MAX(Tabla1[#All])*COUNTA(Tabla4[#Headers]))+Tabla5[[#This Row],[TE]]+Tabla5[[#This Row],[PA]]))</f>
        <v>0</v>
      </c>
      <c r="V9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0" spans="1:35" ht="14.25" customHeight="1">
      <c r="A10" s="17">
        <v>6</v>
      </c>
      <c r="B10" s="40"/>
      <c r="C10" s="41"/>
      <c r="D10" s="17"/>
      <c r="E10" s="14"/>
      <c r="F10" s="14"/>
      <c r="G10" s="14"/>
      <c r="H10" s="14"/>
      <c r="I10" s="21"/>
      <c r="J10" s="15"/>
      <c r="K10" s="20"/>
      <c r="L10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10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10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10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10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10" s="29" t="str">
        <f>HLOOKUP(Tabla5[[#This Row],[TE]],Tabla2[],2,FALSE)</f>
        <v>Entregó el PA dentro del plazo establecido.</v>
      </c>
      <c r="R10" s="30" t="str">
        <f>HLOOKUP(Tabla5[[#This Row],[PA]],Tabla3[],2,FALSE)</f>
        <v>El trabajo presentado es original.</v>
      </c>
      <c r="S10" s="17"/>
      <c r="T10" s="18"/>
      <c r="U10" s="37">
        <f>IF(Tabla5[[#This Row],[PA]]=-20,0.001,IF(SUM(Tabla4[#This Row])=0,0,SUM(Tabla4[#This Row])*20/(MAX(Tabla1[#All])*COUNTA(Tabla4[#Headers]))+Tabla5[[#This Row],[TE]]+Tabla5[[#This Row],[PA]]))</f>
        <v>0</v>
      </c>
      <c r="V10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1" spans="1:35" ht="14.25" customHeight="1">
      <c r="A11" s="17">
        <v>7</v>
      </c>
      <c r="B11" s="40"/>
      <c r="C11" s="41"/>
      <c r="D11" s="17"/>
      <c r="E11" s="21"/>
      <c r="F11" s="21"/>
      <c r="G11" s="21"/>
      <c r="H11" s="21"/>
      <c r="I11" s="21"/>
      <c r="J11" s="15"/>
      <c r="K11" s="20"/>
      <c r="L11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11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11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11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11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11" s="29" t="str">
        <f>HLOOKUP(Tabla5[[#This Row],[TE]],Tabla2[],2,FALSE)</f>
        <v>Entregó el PA dentro del plazo establecido.</v>
      </c>
      <c r="R11" s="30" t="str">
        <f>HLOOKUP(Tabla5[[#This Row],[PA]],Tabla3[],2,FALSE)</f>
        <v>El trabajo presentado es original.</v>
      </c>
      <c r="S11" s="17"/>
      <c r="T11" s="18"/>
      <c r="U11" s="37">
        <f>IF(Tabla5[[#This Row],[PA]]=-20,0.001,IF(SUM(Tabla4[#This Row])=0,0,SUM(Tabla4[#This Row])*20/(MAX(Tabla1[#All])*COUNTA(Tabla4[#Headers]))+Tabla5[[#This Row],[TE]]+Tabla5[[#This Row],[PA]]))</f>
        <v>0</v>
      </c>
      <c r="V11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2" spans="1:35" ht="14.25" customHeight="1">
      <c r="A12" s="17">
        <v>8</v>
      </c>
      <c r="B12" s="40"/>
      <c r="C12" s="41"/>
      <c r="D12" s="17"/>
      <c r="E12" s="21"/>
      <c r="F12" s="21"/>
      <c r="G12" s="21"/>
      <c r="H12" s="21"/>
      <c r="I12" s="21"/>
      <c r="J12" s="15"/>
      <c r="K12" s="20"/>
      <c r="L12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12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12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12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12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12" s="29" t="str">
        <f>HLOOKUP(Tabla5[[#This Row],[TE]],Tabla2[],2,FALSE)</f>
        <v>Entregó el PA dentro del plazo establecido.</v>
      </c>
      <c r="R12" s="30" t="str">
        <f>HLOOKUP(Tabla5[[#This Row],[PA]],Tabla3[],2,FALSE)</f>
        <v>El trabajo presentado es original.</v>
      </c>
      <c r="S12" s="17"/>
      <c r="T12" s="18"/>
      <c r="U12" s="37">
        <f>IF(Tabla5[[#This Row],[PA]]=-20,0.001,IF(SUM(Tabla4[#This Row])=0,0,SUM(Tabla4[#This Row])*20/(MAX(Tabla1[#All])*COUNTA(Tabla4[#Headers]))+Tabla5[[#This Row],[TE]]+Tabla5[[#This Row],[PA]]))</f>
        <v>0</v>
      </c>
      <c r="V12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3" spans="1:35" ht="14.25" customHeight="1">
      <c r="A13" s="17">
        <v>9</v>
      </c>
      <c r="B13" s="40"/>
      <c r="C13" s="41"/>
      <c r="D13" s="17"/>
      <c r="E13" s="21"/>
      <c r="F13" s="21"/>
      <c r="G13" s="21"/>
      <c r="H13" s="21"/>
      <c r="I13" s="21"/>
      <c r="J13" s="15"/>
      <c r="K13" s="20"/>
      <c r="L13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13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13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13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13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13" s="29" t="str">
        <f>HLOOKUP(Tabla5[[#This Row],[TE]],Tabla2[],2,FALSE)</f>
        <v>Entregó el PA dentro del plazo establecido.</v>
      </c>
      <c r="R13" s="30" t="str">
        <f>HLOOKUP(Tabla5[[#This Row],[PA]],Tabla3[],2,FALSE)</f>
        <v>El trabajo presentado es original.</v>
      </c>
      <c r="S13" s="17"/>
      <c r="T13" s="18"/>
      <c r="U13" s="37">
        <f>IF(Tabla5[[#This Row],[PA]]=-20,0.001,IF(SUM(Tabla4[#This Row])=0,0,SUM(Tabla4[#This Row])*20/(MAX(Tabla1[#All])*COUNTA(Tabla4[#Headers]))+Tabla5[[#This Row],[TE]]+Tabla5[[#This Row],[PA]]))</f>
        <v>0</v>
      </c>
      <c r="V13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4" spans="1:35" ht="14.25" customHeight="1">
      <c r="A14" s="17">
        <v>10</v>
      </c>
      <c r="B14" s="40"/>
      <c r="C14" s="41"/>
      <c r="D14" s="17"/>
      <c r="E14" s="21"/>
      <c r="F14" s="21"/>
      <c r="G14" s="21"/>
      <c r="H14" s="21"/>
      <c r="I14" s="21"/>
      <c r="J14" s="15"/>
      <c r="K14" s="20"/>
      <c r="L14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14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14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14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14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14" s="29" t="str">
        <f>HLOOKUP(Tabla5[[#This Row],[TE]],Tabla2[],2,FALSE)</f>
        <v>Entregó el PA dentro del plazo establecido.</v>
      </c>
      <c r="R14" s="30" t="str">
        <f>HLOOKUP(Tabla5[[#This Row],[PA]],Tabla3[],2,FALSE)</f>
        <v>El trabajo presentado es original.</v>
      </c>
      <c r="S14" s="17"/>
      <c r="T14" s="18"/>
      <c r="U14" s="37">
        <f>IF(Tabla5[[#This Row],[PA]]=-20,0.001,IF(SUM(Tabla4[#This Row])=0,0,SUM(Tabla4[#This Row])*20/(MAX(Tabla1[#All])*COUNTA(Tabla4[#Headers]))+Tabla5[[#This Row],[TE]]+Tabla5[[#This Row],[PA]]))</f>
        <v>0</v>
      </c>
      <c r="V14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5" spans="1:35" ht="14.25" customHeight="1">
      <c r="A15" s="17">
        <v>11</v>
      </c>
      <c r="B15" s="40"/>
      <c r="C15" s="41"/>
      <c r="D15" s="17"/>
      <c r="E15" s="21"/>
      <c r="F15" s="21"/>
      <c r="G15" s="21"/>
      <c r="H15" s="21"/>
      <c r="I15" s="21"/>
      <c r="J15" s="15"/>
      <c r="K15" s="20"/>
      <c r="L15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15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15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15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15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15" s="29" t="str">
        <f>HLOOKUP(Tabla5[[#This Row],[TE]],Tabla2[],2,FALSE)</f>
        <v>Entregó el PA dentro del plazo establecido.</v>
      </c>
      <c r="R15" s="30" t="str">
        <f>HLOOKUP(Tabla5[[#This Row],[PA]],Tabla3[],2,FALSE)</f>
        <v>El trabajo presentado es original.</v>
      </c>
      <c r="S15" s="17"/>
      <c r="T15" s="18"/>
      <c r="U15" s="37">
        <f>IF(Tabla5[[#This Row],[PA]]=-20,0.001,IF(SUM(Tabla4[#This Row])=0,0,SUM(Tabla4[#This Row])*20/(MAX(Tabla1[#All])*COUNTA(Tabla4[#Headers]))+Tabla5[[#This Row],[TE]]+Tabla5[[#This Row],[PA]]))</f>
        <v>0</v>
      </c>
      <c r="V15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6" spans="1:35" ht="14.25" customHeight="1">
      <c r="A16" s="17">
        <v>12</v>
      </c>
      <c r="B16" s="40"/>
      <c r="C16" s="41"/>
      <c r="D16" s="17"/>
      <c r="E16" s="21"/>
      <c r="F16" s="21"/>
      <c r="G16" s="21"/>
      <c r="H16" s="21"/>
      <c r="I16" s="21"/>
      <c r="J16" s="15"/>
      <c r="K16" s="20"/>
      <c r="L16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16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16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16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16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16" s="29" t="str">
        <f>HLOOKUP(Tabla5[[#This Row],[TE]],Tabla2[],2,FALSE)</f>
        <v>Entregó el PA dentro del plazo establecido.</v>
      </c>
      <c r="R16" s="30" t="str">
        <f>HLOOKUP(Tabla5[[#This Row],[PA]],Tabla3[],2,FALSE)</f>
        <v>El trabajo presentado es original.</v>
      </c>
      <c r="S16" s="17"/>
      <c r="T16" s="18"/>
      <c r="U16" s="37">
        <f>IF(Tabla5[[#This Row],[PA]]=-20,0.001,IF(SUM(Tabla4[#This Row])=0,0,SUM(Tabla4[#This Row])*20/(MAX(Tabla1[#All])*COUNTA(Tabla4[#Headers]))+Tabla5[[#This Row],[TE]]+Tabla5[[#This Row],[PA]]))</f>
        <v>0</v>
      </c>
      <c r="V16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7" spans="1:22" ht="14.25" customHeight="1">
      <c r="A17" s="17">
        <v>13</v>
      </c>
      <c r="B17" s="40"/>
      <c r="C17" s="41"/>
      <c r="D17" s="17"/>
      <c r="E17" s="21"/>
      <c r="F17" s="21"/>
      <c r="G17" s="21"/>
      <c r="H17" s="21"/>
      <c r="I17" s="21"/>
      <c r="J17" s="15"/>
      <c r="K17" s="20"/>
      <c r="L17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17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17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17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17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17" s="29" t="str">
        <f>HLOOKUP(Tabla5[[#This Row],[TE]],Tabla2[],2,FALSE)</f>
        <v>Entregó el PA dentro del plazo establecido.</v>
      </c>
      <c r="R17" s="30" t="str">
        <f>HLOOKUP(Tabla5[[#This Row],[PA]],Tabla3[],2,FALSE)</f>
        <v>El trabajo presentado es original.</v>
      </c>
      <c r="S17" s="17"/>
      <c r="T17" s="18"/>
      <c r="U17" s="37">
        <f>IF(Tabla5[[#This Row],[PA]]=-20,0.001,IF(SUM(Tabla4[#This Row])=0,0,SUM(Tabla4[#This Row])*20/(MAX(Tabla1[#All])*COUNTA(Tabla4[#Headers]))+Tabla5[[#This Row],[TE]]+Tabla5[[#This Row],[PA]]))</f>
        <v>0</v>
      </c>
      <c r="V17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8" spans="1:22" ht="14.25" customHeight="1">
      <c r="A18" s="17">
        <v>14</v>
      </c>
      <c r="B18" s="40"/>
      <c r="C18" s="41"/>
      <c r="D18" s="17"/>
      <c r="E18" s="21"/>
      <c r="F18" s="21"/>
      <c r="G18" s="21"/>
      <c r="H18" s="21"/>
      <c r="I18" s="21"/>
      <c r="J18" s="15"/>
      <c r="K18" s="20"/>
      <c r="L18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18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18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18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18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18" s="29" t="str">
        <f>HLOOKUP(Tabla5[[#This Row],[TE]],Tabla2[],2,FALSE)</f>
        <v>Entregó el PA dentro del plazo establecido.</v>
      </c>
      <c r="R18" s="30" t="str">
        <f>HLOOKUP(Tabla5[[#This Row],[PA]],Tabla3[],2,FALSE)</f>
        <v>El trabajo presentado es original.</v>
      </c>
      <c r="S18" s="17"/>
      <c r="T18" s="18"/>
      <c r="U18" s="37">
        <f>IF(Tabla5[[#This Row],[PA]]=-20,0.001,IF(SUM(Tabla4[#This Row])=0,0,SUM(Tabla4[#This Row])*20/(MAX(Tabla1[#All])*COUNTA(Tabla4[#Headers]))+Tabla5[[#This Row],[TE]]+Tabla5[[#This Row],[PA]]))</f>
        <v>0</v>
      </c>
      <c r="V18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19" spans="1:22" ht="14.25" customHeight="1">
      <c r="A19" s="17">
        <v>15</v>
      </c>
      <c r="B19" s="40"/>
      <c r="C19" s="41"/>
      <c r="D19" s="17"/>
      <c r="E19" s="21"/>
      <c r="F19" s="21"/>
      <c r="G19" s="21"/>
      <c r="H19" s="21"/>
      <c r="I19" s="21"/>
      <c r="J19" s="15"/>
      <c r="K19" s="20"/>
      <c r="L19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19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19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19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19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19" s="29" t="str">
        <f>HLOOKUP(Tabla5[[#This Row],[TE]],Tabla2[],2,FALSE)</f>
        <v>Entregó el PA dentro del plazo establecido.</v>
      </c>
      <c r="R19" s="30" t="str">
        <f>HLOOKUP(Tabla5[[#This Row],[PA]],Tabla3[],2,FALSE)</f>
        <v>El trabajo presentado es original.</v>
      </c>
      <c r="S19" s="17"/>
      <c r="T19" s="18"/>
      <c r="U19" s="37">
        <f>IF(Tabla5[[#This Row],[PA]]=-20,0.001,IF(SUM(Tabla4[#This Row])=0,0,SUM(Tabla4[#This Row])*20/(MAX(Tabla1[#All])*COUNTA(Tabla4[#Headers]))+Tabla5[[#This Row],[TE]]+Tabla5[[#This Row],[PA]]))</f>
        <v>0</v>
      </c>
      <c r="V19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0" spans="1:22" ht="14.25" customHeight="1">
      <c r="A20" s="17">
        <v>16</v>
      </c>
      <c r="B20" s="40"/>
      <c r="C20" s="41"/>
      <c r="D20" s="17"/>
      <c r="E20" s="21"/>
      <c r="F20" s="21"/>
      <c r="G20" s="21"/>
      <c r="H20" s="21"/>
      <c r="I20" s="21"/>
      <c r="J20" s="15"/>
      <c r="K20" s="20"/>
      <c r="L20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20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20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20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20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20" s="29" t="str">
        <f>HLOOKUP(Tabla5[[#This Row],[TE]],Tabla2[],2,FALSE)</f>
        <v>Entregó el PA dentro del plazo establecido.</v>
      </c>
      <c r="R20" s="30" t="str">
        <f>HLOOKUP(Tabla5[[#This Row],[PA]],Tabla3[],2,FALSE)</f>
        <v>El trabajo presentado es original.</v>
      </c>
      <c r="S20" s="17"/>
      <c r="T20" s="18"/>
      <c r="U20" s="37">
        <f>IF(Tabla5[[#This Row],[PA]]=-20,0.001,IF(SUM(Tabla4[#This Row])=0,0,SUM(Tabla4[#This Row])*20/(MAX(Tabla1[#All])*COUNTA(Tabla4[#Headers]))+Tabla5[[#This Row],[TE]]+Tabla5[[#This Row],[PA]]))</f>
        <v>0</v>
      </c>
      <c r="V20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1" spans="1:22" ht="14.25" customHeight="1">
      <c r="A21" s="17">
        <v>17</v>
      </c>
      <c r="B21" s="40"/>
      <c r="C21" s="41"/>
      <c r="D21" s="17"/>
      <c r="E21" s="21"/>
      <c r="F21" s="21"/>
      <c r="G21" s="21"/>
      <c r="H21" s="21"/>
      <c r="I21" s="21"/>
      <c r="J21" s="15"/>
      <c r="K21" s="20"/>
      <c r="L21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21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21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21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21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21" s="29" t="str">
        <f>HLOOKUP(Tabla5[[#This Row],[TE]],Tabla2[],2,FALSE)</f>
        <v>Entregó el PA dentro del plazo establecido.</v>
      </c>
      <c r="R21" s="30" t="str">
        <f>HLOOKUP(Tabla5[[#This Row],[PA]],Tabla3[],2,FALSE)</f>
        <v>El trabajo presentado es original.</v>
      </c>
      <c r="S21" s="17"/>
      <c r="T21" s="18"/>
      <c r="U21" s="37">
        <f>IF(Tabla5[[#This Row],[PA]]=-20,0.001,IF(SUM(Tabla4[#This Row])=0,0,SUM(Tabla4[#This Row])*20/(MAX(Tabla1[#All])*COUNTA(Tabla4[#Headers]))+Tabla5[[#This Row],[TE]]+Tabla5[[#This Row],[PA]]))</f>
        <v>0</v>
      </c>
      <c r="V21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2" spans="1:22" ht="14.25" customHeight="1">
      <c r="A22" s="17">
        <v>18</v>
      </c>
      <c r="B22" s="40"/>
      <c r="C22" s="41"/>
      <c r="D22" s="17"/>
      <c r="E22" s="21"/>
      <c r="F22" s="21"/>
      <c r="G22" s="21"/>
      <c r="H22" s="21"/>
      <c r="I22" s="21"/>
      <c r="J22" s="15"/>
      <c r="K22" s="20"/>
      <c r="L22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22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22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22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22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22" s="29" t="str">
        <f>HLOOKUP(Tabla5[[#This Row],[TE]],Tabla2[],2,FALSE)</f>
        <v>Entregó el PA dentro del plazo establecido.</v>
      </c>
      <c r="R22" s="30" t="str">
        <f>HLOOKUP(Tabla5[[#This Row],[PA]],Tabla3[],2,FALSE)</f>
        <v>El trabajo presentado es original.</v>
      </c>
      <c r="S22" s="17"/>
      <c r="T22" s="18"/>
      <c r="U22" s="37">
        <f>IF(Tabla5[[#This Row],[PA]]=-20,0.001,IF(SUM(Tabla4[#This Row])=0,0,SUM(Tabla4[#This Row])*20/(MAX(Tabla1[#All])*COUNTA(Tabla4[#Headers]))+Tabla5[[#This Row],[TE]]+Tabla5[[#This Row],[PA]]))</f>
        <v>0</v>
      </c>
      <c r="V22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3" spans="1:22" ht="14.25" customHeight="1">
      <c r="A23" s="17">
        <v>19</v>
      </c>
      <c r="B23" s="40"/>
      <c r="C23" s="41"/>
      <c r="D23" s="17"/>
      <c r="E23" s="21"/>
      <c r="F23" s="21"/>
      <c r="G23" s="21"/>
      <c r="H23" s="21"/>
      <c r="I23" s="21"/>
      <c r="J23" s="15"/>
      <c r="K23" s="20"/>
      <c r="L23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23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23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23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23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23" s="29" t="str">
        <f>HLOOKUP(Tabla5[[#This Row],[TE]],Tabla2[],2,FALSE)</f>
        <v>Entregó el PA dentro del plazo establecido.</v>
      </c>
      <c r="R23" s="30" t="str">
        <f>HLOOKUP(Tabla5[[#This Row],[PA]],Tabla3[],2,FALSE)</f>
        <v>El trabajo presentado es original.</v>
      </c>
      <c r="S23" s="17"/>
      <c r="T23" s="18"/>
      <c r="U23" s="37">
        <f>IF(Tabla5[[#This Row],[PA]]=-20,0.001,IF(SUM(Tabla4[#This Row])=0,0,SUM(Tabla4[#This Row])*20/(MAX(Tabla1[#All])*COUNTA(Tabla4[#Headers]))+Tabla5[[#This Row],[TE]]+Tabla5[[#This Row],[PA]]))</f>
        <v>0</v>
      </c>
      <c r="V23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4" spans="1:22" ht="14.25" customHeight="1">
      <c r="A24" s="17">
        <v>20</v>
      </c>
      <c r="B24" s="40"/>
      <c r="C24" s="41"/>
      <c r="D24" s="17"/>
      <c r="E24" s="21"/>
      <c r="F24" s="21"/>
      <c r="G24" s="21"/>
      <c r="H24" s="21"/>
      <c r="I24" s="21"/>
      <c r="J24" s="15"/>
      <c r="K24" s="20"/>
      <c r="L24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24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24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24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24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24" s="29" t="str">
        <f>HLOOKUP(Tabla5[[#This Row],[TE]],Tabla2[],2,FALSE)</f>
        <v>Entregó el PA dentro del plazo establecido.</v>
      </c>
      <c r="R24" s="30" t="str">
        <f>HLOOKUP(Tabla5[[#This Row],[PA]],Tabla3[],2,FALSE)</f>
        <v>El trabajo presentado es original.</v>
      </c>
      <c r="S24" s="17"/>
      <c r="T24" s="18"/>
      <c r="U24" s="37">
        <f>IF(Tabla5[[#This Row],[PA]]=-20,0.001,IF(SUM(Tabla4[#This Row])=0,0,SUM(Tabla4[#This Row])*20/(MAX(Tabla1[#All])*COUNTA(Tabla4[#Headers]))+Tabla5[[#This Row],[TE]]+Tabla5[[#This Row],[PA]]))</f>
        <v>0</v>
      </c>
      <c r="V24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5" spans="1:22" ht="14.25" customHeight="1">
      <c r="A25" s="17">
        <v>21</v>
      </c>
      <c r="B25" s="40"/>
      <c r="C25" s="41"/>
      <c r="D25" s="17"/>
      <c r="E25" s="21"/>
      <c r="F25" s="21"/>
      <c r="G25" s="21"/>
      <c r="H25" s="21"/>
      <c r="I25" s="21"/>
      <c r="J25" s="15"/>
      <c r="K25" s="20"/>
      <c r="L25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25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25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25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25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25" s="29" t="str">
        <f>HLOOKUP(Tabla5[[#This Row],[TE]],Tabla2[],2,FALSE)</f>
        <v>Entregó el PA dentro del plazo establecido.</v>
      </c>
      <c r="R25" s="30" t="str">
        <f>HLOOKUP(Tabla5[[#This Row],[PA]],Tabla3[],2,FALSE)</f>
        <v>El trabajo presentado es original.</v>
      </c>
      <c r="S25" s="17"/>
      <c r="T25" s="18"/>
      <c r="U25" s="37">
        <f>IF(Tabla5[[#This Row],[PA]]=-20,0.001,IF(SUM(Tabla4[#This Row])=0,0,SUM(Tabla4[#This Row])*20/(MAX(Tabla1[#All])*COUNTA(Tabla4[#Headers]))+Tabla5[[#This Row],[TE]]+Tabla5[[#This Row],[PA]]))</f>
        <v>0</v>
      </c>
      <c r="V25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6" spans="1:22" ht="14.25" customHeight="1">
      <c r="A26" s="17">
        <v>22</v>
      </c>
      <c r="B26" s="40"/>
      <c r="C26" s="41"/>
      <c r="D26" s="17"/>
      <c r="E26" s="21"/>
      <c r="F26" s="21"/>
      <c r="G26" s="21"/>
      <c r="H26" s="21"/>
      <c r="I26" s="21"/>
      <c r="J26" s="15"/>
      <c r="K26" s="20"/>
      <c r="L26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26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26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26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26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26" s="29" t="str">
        <f>HLOOKUP(Tabla5[[#This Row],[TE]],Tabla2[],2,FALSE)</f>
        <v>Entregó el PA dentro del plazo establecido.</v>
      </c>
      <c r="R26" s="30" t="str">
        <f>HLOOKUP(Tabla5[[#This Row],[PA]],Tabla3[],2,FALSE)</f>
        <v>El trabajo presentado es original.</v>
      </c>
      <c r="S26" s="17"/>
      <c r="T26" s="18"/>
      <c r="U26" s="37">
        <f>IF(Tabla5[[#This Row],[PA]]=-20,0.001,IF(SUM(Tabla4[#This Row])=0,0,SUM(Tabla4[#This Row])*20/(MAX(Tabla1[#All])*COUNTA(Tabla4[#Headers]))+Tabla5[[#This Row],[TE]]+Tabla5[[#This Row],[PA]]))</f>
        <v>0</v>
      </c>
      <c r="V26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7" spans="1:22" ht="14.25" customHeight="1">
      <c r="A27" s="17">
        <v>23</v>
      </c>
      <c r="B27" s="40"/>
      <c r="C27" s="41"/>
      <c r="D27" s="17"/>
      <c r="E27" s="21"/>
      <c r="F27" s="21"/>
      <c r="G27" s="21"/>
      <c r="H27" s="21"/>
      <c r="I27" s="21"/>
      <c r="J27" s="15"/>
      <c r="K27" s="20"/>
      <c r="L27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27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27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27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27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27" s="29" t="str">
        <f>HLOOKUP(Tabla5[[#This Row],[TE]],Tabla2[],2,FALSE)</f>
        <v>Entregó el PA dentro del plazo establecido.</v>
      </c>
      <c r="R27" s="30" t="str">
        <f>HLOOKUP(Tabla5[[#This Row],[PA]],Tabla3[],2,FALSE)</f>
        <v>El trabajo presentado es original.</v>
      </c>
      <c r="S27" s="17"/>
      <c r="T27" s="18"/>
      <c r="U27" s="37">
        <f>IF(Tabla5[[#This Row],[PA]]=-20,0.001,IF(SUM(Tabla4[#This Row])=0,0,SUM(Tabla4[#This Row])*20/(MAX(Tabla1[#All])*COUNTA(Tabla4[#Headers]))+Tabla5[[#This Row],[TE]]+Tabla5[[#This Row],[PA]]))</f>
        <v>0</v>
      </c>
      <c r="V27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8" spans="1:22" ht="14.25" customHeight="1">
      <c r="A28" s="17">
        <v>24</v>
      </c>
      <c r="B28" s="40"/>
      <c r="C28" s="41"/>
      <c r="D28" s="17"/>
      <c r="E28" s="21"/>
      <c r="F28" s="21"/>
      <c r="G28" s="21"/>
      <c r="H28" s="21"/>
      <c r="I28" s="21"/>
      <c r="J28" s="15"/>
      <c r="K28" s="20"/>
      <c r="L28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28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28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28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28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28" s="29" t="str">
        <f>HLOOKUP(Tabla5[[#This Row],[TE]],Tabla2[],2,FALSE)</f>
        <v>Entregó el PA dentro del plazo establecido.</v>
      </c>
      <c r="R28" s="30" t="str">
        <f>HLOOKUP(Tabla5[[#This Row],[PA]],Tabla3[],2,FALSE)</f>
        <v>El trabajo presentado es original.</v>
      </c>
      <c r="S28" s="17"/>
      <c r="T28" s="18"/>
      <c r="U28" s="37">
        <f>IF(Tabla5[[#This Row],[PA]]=-20,0.001,IF(SUM(Tabla4[#This Row])=0,0,SUM(Tabla4[#This Row])*20/(MAX(Tabla1[#All])*COUNTA(Tabla4[#Headers]))+Tabla5[[#This Row],[TE]]+Tabla5[[#This Row],[PA]]))</f>
        <v>0</v>
      </c>
      <c r="V28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29" spans="1:22" ht="14.25" customHeight="1">
      <c r="A29" s="17">
        <v>25</v>
      </c>
      <c r="B29" s="40"/>
      <c r="C29" s="41"/>
      <c r="D29" s="17"/>
      <c r="E29" s="21"/>
      <c r="F29" s="21"/>
      <c r="G29" s="21"/>
      <c r="H29" s="21"/>
      <c r="I29" s="21"/>
      <c r="J29" s="15"/>
      <c r="K29" s="20"/>
      <c r="L29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29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29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29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29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29" s="29" t="str">
        <f>HLOOKUP(Tabla5[[#This Row],[TE]],Tabla2[],2,FALSE)</f>
        <v>Entregó el PA dentro del plazo establecido.</v>
      </c>
      <c r="R29" s="30" t="str">
        <f>HLOOKUP(Tabla5[[#This Row],[PA]],Tabla3[],2,FALSE)</f>
        <v>El trabajo presentado es original.</v>
      </c>
      <c r="S29" s="17"/>
      <c r="T29" s="18"/>
      <c r="U29" s="37">
        <f>IF(Tabla5[[#This Row],[PA]]=-20,0.001,IF(SUM(Tabla4[#This Row])=0,0,SUM(Tabla4[#This Row])*20/(MAX(Tabla1[#All])*COUNTA(Tabla4[#Headers]))+Tabla5[[#This Row],[TE]]+Tabla5[[#This Row],[PA]]))</f>
        <v>0</v>
      </c>
      <c r="V29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0" spans="1:22" ht="14.25" customHeight="1">
      <c r="A30" s="17">
        <v>26</v>
      </c>
      <c r="B30" s="40"/>
      <c r="C30" s="41"/>
      <c r="D30" s="17"/>
      <c r="E30" s="21"/>
      <c r="F30" s="21"/>
      <c r="G30" s="21"/>
      <c r="H30" s="21"/>
      <c r="I30" s="21"/>
      <c r="J30" s="15"/>
      <c r="K30" s="20"/>
      <c r="L30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30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30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30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30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30" s="29" t="str">
        <f>HLOOKUP(Tabla5[[#This Row],[TE]],Tabla2[],2,FALSE)</f>
        <v>Entregó el PA dentro del plazo establecido.</v>
      </c>
      <c r="R30" s="30" t="str">
        <f>HLOOKUP(Tabla5[[#This Row],[PA]],Tabla3[],2,FALSE)</f>
        <v>El trabajo presentado es original.</v>
      </c>
      <c r="S30" s="17"/>
      <c r="T30" s="18"/>
      <c r="U30" s="37">
        <f>IF(Tabla5[[#This Row],[PA]]=-20,0.001,IF(SUM(Tabla4[#This Row])=0,0,SUM(Tabla4[#This Row])*20/(MAX(Tabla1[#All])*COUNTA(Tabla4[#Headers]))+Tabla5[[#This Row],[TE]]+Tabla5[[#This Row],[PA]]))</f>
        <v>0</v>
      </c>
      <c r="V30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1" spans="1:22" ht="14.25" customHeight="1">
      <c r="A31" s="17">
        <v>27</v>
      </c>
      <c r="B31" s="40"/>
      <c r="C31" s="41"/>
      <c r="D31" s="17"/>
      <c r="E31" s="21"/>
      <c r="F31" s="21"/>
      <c r="G31" s="21"/>
      <c r="H31" s="21"/>
      <c r="I31" s="21"/>
      <c r="J31" s="15"/>
      <c r="K31" s="20"/>
      <c r="L31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31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31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31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31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31" s="29" t="str">
        <f>HLOOKUP(Tabla5[[#This Row],[TE]],Tabla2[],2,FALSE)</f>
        <v>Entregó el PA dentro del plazo establecido.</v>
      </c>
      <c r="R31" s="30" t="str">
        <f>HLOOKUP(Tabla5[[#This Row],[PA]],Tabla3[],2,FALSE)</f>
        <v>El trabajo presentado es original.</v>
      </c>
      <c r="S31" s="17"/>
      <c r="T31" s="18"/>
      <c r="U31" s="37">
        <f>IF(Tabla5[[#This Row],[PA]]=-20,0.001,IF(SUM(Tabla4[#This Row])=0,0,SUM(Tabla4[#This Row])*20/(MAX(Tabla1[#All])*COUNTA(Tabla4[#Headers]))+Tabla5[[#This Row],[TE]]+Tabla5[[#This Row],[PA]]))</f>
        <v>0</v>
      </c>
      <c r="V31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2" spans="1:22" ht="14.25" customHeight="1">
      <c r="A32" s="17">
        <v>28</v>
      </c>
      <c r="B32" s="40"/>
      <c r="C32" s="41"/>
      <c r="D32" s="17"/>
      <c r="E32" s="21"/>
      <c r="F32" s="21"/>
      <c r="G32" s="21"/>
      <c r="H32" s="21"/>
      <c r="I32" s="21"/>
      <c r="J32" s="15"/>
      <c r="K32" s="20"/>
      <c r="L32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32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32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32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32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32" s="29" t="str">
        <f>HLOOKUP(Tabla5[[#This Row],[TE]],Tabla2[],2,FALSE)</f>
        <v>Entregó el PA dentro del plazo establecido.</v>
      </c>
      <c r="R32" s="30" t="str">
        <f>HLOOKUP(Tabla5[[#This Row],[PA]],Tabla3[],2,FALSE)</f>
        <v>El trabajo presentado es original.</v>
      </c>
      <c r="S32" s="17"/>
      <c r="T32" s="18"/>
      <c r="U32" s="37">
        <f>IF(Tabla5[[#This Row],[PA]]=-20,0.001,IF(SUM(Tabla4[#This Row])=0,0,SUM(Tabla4[#This Row])*20/(MAX(Tabla1[#All])*COUNTA(Tabla4[#Headers]))+Tabla5[[#This Row],[TE]]+Tabla5[[#This Row],[PA]]))</f>
        <v>0</v>
      </c>
      <c r="V32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3" spans="1:22" ht="14.25" customHeight="1">
      <c r="A33" s="17">
        <v>29</v>
      </c>
      <c r="B33" s="40"/>
      <c r="C33" s="41"/>
      <c r="D33" s="17"/>
      <c r="E33" s="21"/>
      <c r="F33" s="21"/>
      <c r="G33" s="21"/>
      <c r="H33" s="21"/>
      <c r="I33" s="21"/>
      <c r="J33" s="15"/>
      <c r="K33" s="20"/>
      <c r="L33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33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33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33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33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33" s="29" t="str">
        <f>HLOOKUP(Tabla5[[#This Row],[TE]],Tabla2[],2,FALSE)</f>
        <v>Entregó el PA dentro del plazo establecido.</v>
      </c>
      <c r="R33" s="30" t="str">
        <f>HLOOKUP(Tabla5[[#This Row],[PA]],Tabla3[],2,FALSE)</f>
        <v>El trabajo presentado es original.</v>
      </c>
      <c r="S33" s="17"/>
      <c r="T33" s="18"/>
      <c r="U33" s="37">
        <f>IF(Tabla5[[#This Row],[PA]]=-20,0.001,IF(SUM(Tabla4[#This Row])=0,0,SUM(Tabla4[#This Row])*20/(MAX(Tabla1[#All])*COUNTA(Tabla4[#Headers]))+Tabla5[[#This Row],[TE]]+Tabla5[[#This Row],[PA]]))</f>
        <v>0</v>
      </c>
      <c r="V33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4" spans="1:22" ht="14.25" customHeight="1">
      <c r="A34" s="17">
        <v>30</v>
      </c>
      <c r="B34" s="40"/>
      <c r="C34" s="41"/>
      <c r="D34" s="17"/>
      <c r="E34" s="21"/>
      <c r="F34" s="21"/>
      <c r="G34" s="21"/>
      <c r="H34" s="21"/>
      <c r="I34" s="21"/>
      <c r="J34" s="15"/>
      <c r="K34" s="20"/>
      <c r="L34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34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34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34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34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34" s="29" t="str">
        <f>HLOOKUP(Tabla5[[#This Row],[TE]],Tabla2[],2,FALSE)</f>
        <v>Entregó el PA dentro del plazo establecido.</v>
      </c>
      <c r="R34" s="30" t="str">
        <f>HLOOKUP(Tabla5[[#This Row],[PA]],Tabla3[],2,FALSE)</f>
        <v>El trabajo presentado es original.</v>
      </c>
      <c r="S34" s="17"/>
      <c r="T34" s="18"/>
      <c r="U34" s="37">
        <f>IF(Tabla5[[#This Row],[PA]]=-20,0.001,IF(SUM(Tabla4[#This Row])=0,0,SUM(Tabla4[#This Row])*20/(MAX(Tabla1[#All])*COUNTA(Tabla4[#Headers]))+Tabla5[[#This Row],[TE]]+Tabla5[[#This Row],[PA]]))</f>
        <v>0</v>
      </c>
      <c r="V34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5" spans="1:22" ht="14.25" customHeight="1">
      <c r="A35" s="17">
        <v>31</v>
      </c>
      <c r="B35" s="40"/>
      <c r="C35" s="41"/>
      <c r="D35" s="17"/>
      <c r="E35" s="21"/>
      <c r="F35" s="21"/>
      <c r="G35" s="21"/>
      <c r="H35" s="21"/>
      <c r="I35" s="21"/>
      <c r="J35" s="15"/>
      <c r="K35" s="20"/>
      <c r="L35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35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35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35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35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35" s="29" t="str">
        <f>HLOOKUP(Tabla5[[#This Row],[TE]],Tabla2[],2,FALSE)</f>
        <v>Entregó el PA dentro del plazo establecido.</v>
      </c>
      <c r="R35" s="30" t="str">
        <f>HLOOKUP(Tabla5[[#This Row],[PA]],Tabla3[],2,FALSE)</f>
        <v>El trabajo presentado es original.</v>
      </c>
      <c r="S35" s="17"/>
      <c r="T35" s="18"/>
      <c r="U35" s="37">
        <f>IF(Tabla5[[#This Row],[PA]]=-20,0.001,IF(SUM(Tabla4[#This Row])=0,0,SUM(Tabla4[#This Row])*20/(MAX(Tabla1[#All])*COUNTA(Tabla4[#Headers]))+Tabla5[[#This Row],[TE]]+Tabla5[[#This Row],[PA]]))</f>
        <v>0</v>
      </c>
      <c r="V35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6" spans="1:22" ht="14.25" customHeight="1">
      <c r="A36" s="17">
        <v>32</v>
      </c>
      <c r="B36" s="40"/>
      <c r="C36" s="41"/>
      <c r="D36" s="17"/>
      <c r="E36" s="21"/>
      <c r="F36" s="21"/>
      <c r="G36" s="21"/>
      <c r="H36" s="21"/>
      <c r="I36" s="21"/>
      <c r="J36" s="15"/>
      <c r="K36" s="20"/>
      <c r="L36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36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36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36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36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36" s="29" t="str">
        <f>HLOOKUP(Tabla5[[#This Row],[TE]],Tabla2[],2,FALSE)</f>
        <v>Entregó el PA dentro del plazo establecido.</v>
      </c>
      <c r="R36" s="30" t="str">
        <f>HLOOKUP(Tabla5[[#This Row],[PA]],Tabla3[],2,FALSE)</f>
        <v>El trabajo presentado es original.</v>
      </c>
      <c r="S36" s="17"/>
      <c r="T36" s="18"/>
      <c r="U36" s="37">
        <f>IF(Tabla5[[#This Row],[PA]]=-20,0.001,IF(SUM(Tabla4[#This Row])=0,0,SUM(Tabla4[#This Row])*20/(MAX(Tabla1[#All])*COUNTA(Tabla4[#Headers]))+Tabla5[[#This Row],[TE]]+Tabla5[[#This Row],[PA]]))</f>
        <v>0</v>
      </c>
      <c r="V36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7" spans="1:22" ht="14.25" customHeight="1">
      <c r="A37" s="17">
        <v>33</v>
      </c>
      <c r="B37" s="40"/>
      <c r="C37" s="41"/>
      <c r="D37" s="17"/>
      <c r="E37" s="21"/>
      <c r="F37" s="21"/>
      <c r="G37" s="21"/>
      <c r="H37" s="21"/>
      <c r="I37" s="21"/>
      <c r="J37" s="15"/>
      <c r="K37" s="20"/>
      <c r="L37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37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37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37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37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37" s="29" t="str">
        <f>HLOOKUP(Tabla5[[#This Row],[TE]],Tabla2[],2,FALSE)</f>
        <v>Entregó el PA dentro del plazo establecido.</v>
      </c>
      <c r="R37" s="30" t="str">
        <f>HLOOKUP(Tabla5[[#This Row],[PA]],Tabla3[],2,FALSE)</f>
        <v>El trabajo presentado es original.</v>
      </c>
      <c r="S37" s="17"/>
      <c r="T37" s="18"/>
      <c r="U37" s="37">
        <f>IF(Tabla5[[#This Row],[PA]]=-20,0.001,IF(SUM(Tabla4[#This Row])=0,0,SUM(Tabla4[#This Row])*20/(MAX(Tabla1[#All])*COUNTA(Tabla4[#Headers]))+Tabla5[[#This Row],[TE]]+Tabla5[[#This Row],[PA]]))</f>
        <v>0</v>
      </c>
      <c r="V37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8" spans="1:22" ht="14.25" customHeight="1">
      <c r="A38" s="17">
        <v>34</v>
      </c>
      <c r="B38" s="40"/>
      <c r="C38" s="41"/>
      <c r="D38" s="17"/>
      <c r="E38" s="21"/>
      <c r="F38" s="21"/>
      <c r="G38" s="21"/>
      <c r="H38" s="21"/>
      <c r="I38" s="21"/>
      <c r="J38" s="15"/>
      <c r="K38" s="20"/>
      <c r="L38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38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38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38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38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38" s="29" t="str">
        <f>HLOOKUP(Tabla5[[#This Row],[TE]],Tabla2[],2,FALSE)</f>
        <v>Entregó el PA dentro del plazo establecido.</v>
      </c>
      <c r="R38" s="30" t="str">
        <f>HLOOKUP(Tabla5[[#This Row],[PA]],Tabla3[],2,FALSE)</f>
        <v>El trabajo presentado es original.</v>
      </c>
      <c r="S38" s="17"/>
      <c r="T38" s="18"/>
      <c r="U38" s="37">
        <f>IF(Tabla5[[#This Row],[PA]]=-20,0.001,IF(SUM(Tabla4[#This Row])=0,0,SUM(Tabla4[#This Row])*20/(MAX(Tabla1[#All])*COUNTA(Tabla4[#Headers]))+Tabla5[[#This Row],[TE]]+Tabla5[[#This Row],[PA]]))</f>
        <v>0</v>
      </c>
      <c r="V38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39" spans="1:22" ht="14.25" customHeight="1">
      <c r="A39" s="17">
        <v>35</v>
      </c>
      <c r="B39" s="40"/>
      <c r="C39" s="41"/>
      <c r="D39" s="17"/>
      <c r="E39" s="21"/>
      <c r="F39" s="21"/>
      <c r="G39" s="21"/>
      <c r="H39" s="21"/>
      <c r="I39" s="21"/>
      <c r="J39" s="15"/>
      <c r="K39" s="20"/>
      <c r="L39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39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39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39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39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39" s="29" t="str">
        <f>HLOOKUP(Tabla5[[#This Row],[TE]],Tabla2[],2,FALSE)</f>
        <v>Entregó el PA dentro del plazo establecido.</v>
      </c>
      <c r="R39" s="30" t="str">
        <f>HLOOKUP(Tabla5[[#This Row],[PA]],Tabla3[],2,FALSE)</f>
        <v>El trabajo presentado es original.</v>
      </c>
      <c r="S39" s="17"/>
      <c r="T39" s="18"/>
      <c r="U39" s="37">
        <f>IF(Tabla5[[#This Row],[PA]]=-20,0.001,IF(SUM(Tabla4[#This Row])=0,0,SUM(Tabla4[#This Row])*20/(MAX(Tabla1[#All])*COUNTA(Tabla4[#Headers]))+Tabla5[[#This Row],[TE]]+Tabla5[[#This Row],[PA]]))</f>
        <v>0</v>
      </c>
      <c r="V39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0" spans="1:22" ht="14.25" customHeight="1">
      <c r="A40" s="17">
        <v>36</v>
      </c>
      <c r="B40" s="40"/>
      <c r="C40" s="41"/>
      <c r="D40" s="17"/>
      <c r="E40" s="21"/>
      <c r="F40" s="21"/>
      <c r="G40" s="21"/>
      <c r="H40" s="21"/>
      <c r="I40" s="21"/>
      <c r="J40" s="15"/>
      <c r="K40" s="20"/>
      <c r="L40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40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40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40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40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40" s="29" t="str">
        <f>HLOOKUP(Tabla5[[#This Row],[TE]],Tabla2[],2,FALSE)</f>
        <v>Entregó el PA dentro del plazo establecido.</v>
      </c>
      <c r="R40" s="30" t="str">
        <f>HLOOKUP(Tabla5[[#This Row],[PA]],Tabla3[],2,FALSE)</f>
        <v>El trabajo presentado es original.</v>
      </c>
      <c r="S40" s="17"/>
      <c r="T40" s="18"/>
      <c r="U40" s="37">
        <f>IF(Tabla5[[#This Row],[PA]]=-20,0.001,IF(SUM(Tabla4[#This Row])=0,0,SUM(Tabla4[#This Row])*20/(MAX(Tabla1[#All])*COUNTA(Tabla4[#Headers]))+Tabla5[[#This Row],[TE]]+Tabla5[[#This Row],[PA]]))</f>
        <v>0</v>
      </c>
      <c r="V40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1" spans="1:22" ht="14.25" customHeight="1">
      <c r="A41" s="17">
        <v>37</v>
      </c>
      <c r="B41" s="40"/>
      <c r="C41" s="41"/>
      <c r="D41" s="17"/>
      <c r="E41" s="21"/>
      <c r="F41" s="21"/>
      <c r="G41" s="21"/>
      <c r="H41" s="21"/>
      <c r="I41" s="21"/>
      <c r="J41" s="15"/>
      <c r="K41" s="20"/>
      <c r="L41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41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41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41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41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41" s="29" t="str">
        <f>HLOOKUP(Tabla5[[#This Row],[TE]],Tabla2[],2,FALSE)</f>
        <v>Entregó el PA dentro del plazo establecido.</v>
      </c>
      <c r="R41" s="30" t="str">
        <f>HLOOKUP(Tabla5[[#This Row],[PA]],Tabla3[],2,FALSE)</f>
        <v>El trabajo presentado es original.</v>
      </c>
      <c r="S41" s="17"/>
      <c r="T41" s="18"/>
      <c r="U41" s="37">
        <f>IF(Tabla5[[#This Row],[PA]]=-20,0.001,IF(SUM(Tabla4[#This Row])=0,0,SUM(Tabla4[#This Row])*20/(MAX(Tabla1[#All])*COUNTA(Tabla4[#Headers]))+Tabla5[[#This Row],[TE]]+Tabla5[[#This Row],[PA]]))</f>
        <v>0</v>
      </c>
      <c r="V41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2" spans="1:22" ht="14.25" customHeight="1">
      <c r="A42" s="17">
        <v>38</v>
      </c>
      <c r="B42" s="40"/>
      <c r="C42" s="41"/>
      <c r="D42" s="17"/>
      <c r="E42" s="21"/>
      <c r="F42" s="21"/>
      <c r="G42" s="21"/>
      <c r="H42" s="21"/>
      <c r="I42" s="21"/>
      <c r="J42" s="15"/>
      <c r="K42" s="20"/>
      <c r="L42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42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42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42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42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42" s="29" t="str">
        <f>HLOOKUP(Tabla5[[#This Row],[TE]],Tabla2[],2,FALSE)</f>
        <v>Entregó el PA dentro del plazo establecido.</v>
      </c>
      <c r="R42" s="30" t="str">
        <f>HLOOKUP(Tabla5[[#This Row],[PA]],Tabla3[],2,FALSE)</f>
        <v>El trabajo presentado es original.</v>
      </c>
      <c r="S42" s="17"/>
      <c r="T42" s="18"/>
      <c r="U42" s="37">
        <f>IF(Tabla5[[#This Row],[PA]]=-20,0.001,IF(SUM(Tabla4[#This Row])=0,0,SUM(Tabla4[#This Row])*20/(MAX(Tabla1[#All])*COUNTA(Tabla4[#Headers]))+Tabla5[[#This Row],[TE]]+Tabla5[[#This Row],[PA]]))</f>
        <v>0</v>
      </c>
      <c r="V42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3" spans="1:22" ht="14.25" customHeight="1">
      <c r="A43" s="17">
        <v>39</v>
      </c>
      <c r="B43" s="40"/>
      <c r="C43" s="41"/>
      <c r="D43" s="17"/>
      <c r="E43" s="21"/>
      <c r="F43" s="21"/>
      <c r="G43" s="21"/>
      <c r="H43" s="21"/>
      <c r="I43" s="21"/>
      <c r="J43" s="15"/>
      <c r="K43" s="20"/>
      <c r="L43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43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43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43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43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43" s="29" t="str">
        <f>HLOOKUP(Tabla5[[#This Row],[TE]],Tabla2[],2,FALSE)</f>
        <v>Entregó el PA dentro del plazo establecido.</v>
      </c>
      <c r="R43" s="30" t="str">
        <f>HLOOKUP(Tabla5[[#This Row],[PA]],Tabla3[],2,FALSE)</f>
        <v>El trabajo presentado es original.</v>
      </c>
      <c r="S43" s="17"/>
      <c r="T43" s="18"/>
      <c r="U43" s="37">
        <f>IF(Tabla5[[#This Row],[PA]]=-20,0.001,IF(SUM(Tabla4[#This Row])=0,0,SUM(Tabla4[#This Row])*20/(MAX(Tabla1[#All])*COUNTA(Tabla4[#Headers]))+Tabla5[[#This Row],[TE]]+Tabla5[[#This Row],[PA]]))</f>
        <v>0</v>
      </c>
      <c r="V43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4" spans="1:22" ht="14.25" customHeight="1">
      <c r="A44" s="17">
        <v>40</v>
      </c>
      <c r="B44" s="40"/>
      <c r="C44" s="41"/>
      <c r="D44" s="17"/>
      <c r="E44" s="21"/>
      <c r="F44" s="21"/>
      <c r="G44" s="21"/>
      <c r="H44" s="21"/>
      <c r="I44" s="21"/>
      <c r="J44" s="15"/>
      <c r="K44" s="20"/>
      <c r="L44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44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44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44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44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44" s="29" t="str">
        <f>HLOOKUP(Tabla5[[#This Row],[TE]],Tabla2[],2,FALSE)</f>
        <v>Entregó el PA dentro del plazo establecido.</v>
      </c>
      <c r="R44" s="30" t="str">
        <f>HLOOKUP(Tabla5[[#This Row],[PA]],Tabla3[],2,FALSE)</f>
        <v>El trabajo presentado es original.</v>
      </c>
      <c r="S44" s="17"/>
      <c r="T44" s="18"/>
      <c r="U44" s="37">
        <f>IF(Tabla5[[#This Row],[PA]]=-20,0.001,IF(SUM(Tabla4[#This Row])=0,0,SUM(Tabla4[#This Row])*20/(MAX(Tabla1[#All])*COUNTA(Tabla4[#Headers]))+Tabla5[[#This Row],[TE]]+Tabla5[[#This Row],[PA]]))</f>
        <v>0</v>
      </c>
      <c r="V44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5" spans="1:22" ht="14.25" customHeight="1">
      <c r="A45" s="17">
        <v>41</v>
      </c>
      <c r="B45" s="40"/>
      <c r="C45" s="41"/>
      <c r="D45" s="17"/>
      <c r="E45" s="21"/>
      <c r="F45" s="21"/>
      <c r="G45" s="21"/>
      <c r="H45" s="21"/>
      <c r="I45" s="21"/>
      <c r="J45" s="15"/>
      <c r="K45" s="20"/>
      <c r="L45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45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45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45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45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45" s="29" t="str">
        <f>HLOOKUP(Tabla5[[#This Row],[TE]],Tabla2[],2,FALSE)</f>
        <v>Entregó el PA dentro del plazo establecido.</v>
      </c>
      <c r="R45" s="30" t="str">
        <f>HLOOKUP(Tabla5[[#This Row],[PA]],Tabla3[],2,FALSE)</f>
        <v>El trabajo presentado es original.</v>
      </c>
      <c r="S45" s="17"/>
      <c r="T45" s="18"/>
      <c r="U45" s="37">
        <f>IF(Tabla5[[#This Row],[PA]]=-20,0.001,IF(SUM(Tabla4[#This Row])=0,0,SUM(Tabla4[#This Row])*20/(MAX(Tabla1[#All])*COUNTA(Tabla4[#Headers]))+Tabla5[[#This Row],[TE]]+Tabla5[[#This Row],[PA]]))</f>
        <v>0</v>
      </c>
      <c r="V45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6" spans="1:22" ht="14.25" customHeight="1">
      <c r="A46" s="17">
        <v>42</v>
      </c>
      <c r="B46" s="40"/>
      <c r="C46" s="41"/>
      <c r="D46" s="17"/>
      <c r="E46" s="21"/>
      <c r="F46" s="21"/>
      <c r="G46" s="21"/>
      <c r="H46" s="21"/>
      <c r="I46" s="21"/>
      <c r="J46" s="15"/>
      <c r="K46" s="20"/>
      <c r="L46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46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46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46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46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46" s="29" t="str">
        <f>HLOOKUP(Tabla5[[#This Row],[TE]],Tabla2[],2,FALSE)</f>
        <v>Entregó el PA dentro del plazo establecido.</v>
      </c>
      <c r="R46" s="30" t="str">
        <f>HLOOKUP(Tabla5[[#This Row],[PA]],Tabla3[],2,FALSE)</f>
        <v>El trabajo presentado es original.</v>
      </c>
      <c r="S46" s="17"/>
      <c r="T46" s="18"/>
      <c r="U46" s="37">
        <f>IF(Tabla5[[#This Row],[PA]]=-20,0.001,IF(SUM(Tabla4[#This Row])=0,0,SUM(Tabla4[#This Row])*20/(MAX(Tabla1[#All])*COUNTA(Tabla4[#Headers]))+Tabla5[[#This Row],[TE]]+Tabla5[[#This Row],[PA]]))</f>
        <v>0</v>
      </c>
      <c r="V46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7" spans="1:22" ht="14.25" customHeight="1">
      <c r="A47" s="17">
        <v>43</v>
      </c>
      <c r="B47" s="40"/>
      <c r="C47" s="41"/>
      <c r="D47" s="17"/>
      <c r="E47" s="21"/>
      <c r="F47" s="21"/>
      <c r="G47" s="21"/>
      <c r="H47" s="21"/>
      <c r="I47" s="21"/>
      <c r="J47" s="15"/>
      <c r="K47" s="20"/>
      <c r="L47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47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47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47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47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47" s="29" t="str">
        <f>HLOOKUP(Tabla5[[#This Row],[TE]],Tabla2[],2,FALSE)</f>
        <v>Entregó el PA dentro del plazo establecido.</v>
      </c>
      <c r="R47" s="30" t="str">
        <f>HLOOKUP(Tabla5[[#This Row],[PA]],Tabla3[],2,FALSE)</f>
        <v>El trabajo presentado es original.</v>
      </c>
      <c r="S47" s="17"/>
      <c r="T47" s="18"/>
      <c r="U47" s="37">
        <f>IF(Tabla5[[#This Row],[PA]]=-20,0.001,IF(SUM(Tabla4[#This Row])=0,0,SUM(Tabla4[#This Row])*20/(MAX(Tabla1[#All])*COUNTA(Tabla4[#Headers]))+Tabla5[[#This Row],[TE]]+Tabla5[[#This Row],[PA]]))</f>
        <v>0</v>
      </c>
      <c r="V47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8" spans="1:22" ht="14.25" customHeight="1">
      <c r="A48" s="17">
        <v>44</v>
      </c>
      <c r="B48" s="40"/>
      <c r="C48" s="41"/>
      <c r="D48" s="17"/>
      <c r="E48" s="21"/>
      <c r="F48" s="21"/>
      <c r="G48" s="21"/>
      <c r="H48" s="21"/>
      <c r="I48" s="21"/>
      <c r="J48" s="15"/>
      <c r="K48" s="20"/>
      <c r="L48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48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48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48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48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48" s="29" t="str">
        <f>HLOOKUP(Tabla5[[#This Row],[TE]],Tabla2[],2,FALSE)</f>
        <v>Entregó el PA dentro del plazo establecido.</v>
      </c>
      <c r="R48" s="30" t="str">
        <f>HLOOKUP(Tabla5[[#This Row],[PA]],Tabla3[],2,FALSE)</f>
        <v>El trabajo presentado es original.</v>
      </c>
      <c r="S48" s="17"/>
      <c r="T48" s="18"/>
      <c r="U48" s="37">
        <f>IF(Tabla5[[#This Row],[PA]]=-20,0.001,IF(SUM(Tabla4[#This Row])=0,0,SUM(Tabla4[#This Row])*20/(MAX(Tabla1[#All])*COUNTA(Tabla4[#Headers]))+Tabla5[[#This Row],[TE]]+Tabla5[[#This Row],[PA]]))</f>
        <v>0</v>
      </c>
      <c r="V48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49" spans="1:22" ht="14.25" customHeight="1">
      <c r="A49" s="17">
        <v>45</v>
      </c>
      <c r="B49" s="40"/>
      <c r="C49" s="41"/>
      <c r="D49" s="17"/>
      <c r="E49" s="21"/>
      <c r="F49" s="21"/>
      <c r="G49" s="21"/>
      <c r="H49" s="21"/>
      <c r="I49" s="21"/>
      <c r="J49" s="15"/>
      <c r="K49" s="20"/>
      <c r="L49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49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49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49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49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49" s="29" t="str">
        <f>HLOOKUP(Tabla5[[#This Row],[TE]],Tabla2[],2,FALSE)</f>
        <v>Entregó el PA dentro del plazo establecido.</v>
      </c>
      <c r="R49" s="30" t="str">
        <f>HLOOKUP(Tabla5[[#This Row],[PA]],Tabla3[],2,FALSE)</f>
        <v>El trabajo presentado es original.</v>
      </c>
      <c r="S49" s="17"/>
      <c r="T49" s="18"/>
      <c r="U49" s="37">
        <f>IF(Tabla5[[#This Row],[PA]]=-20,0.001,IF(SUM(Tabla4[#This Row])=0,0,SUM(Tabla4[#This Row])*20/(MAX(Tabla1[#All])*COUNTA(Tabla4[#Headers]))+Tabla5[[#This Row],[TE]]+Tabla5[[#This Row],[PA]]))</f>
        <v>0</v>
      </c>
      <c r="V49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0" spans="1:22" ht="14.25" customHeight="1">
      <c r="A50" s="17">
        <v>46</v>
      </c>
      <c r="B50" s="22"/>
      <c r="C50" s="17"/>
      <c r="D50" s="17"/>
      <c r="E50" s="21"/>
      <c r="F50" s="21"/>
      <c r="G50" s="21"/>
      <c r="H50" s="21"/>
      <c r="I50" s="21"/>
      <c r="J50" s="15"/>
      <c r="K50" s="20"/>
      <c r="L50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50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50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50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50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50" s="29" t="str">
        <f>HLOOKUP(Tabla5[[#This Row],[TE]],Tabla2[],2,FALSE)</f>
        <v>Entregó el PA dentro del plazo establecido.</v>
      </c>
      <c r="R50" s="30" t="str">
        <f>HLOOKUP(Tabla5[[#This Row],[PA]],Tabla3[],2,FALSE)</f>
        <v>El trabajo presentado es original.</v>
      </c>
      <c r="S50" s="17"/>
      <c r="T50" s="18"/>
      <c r="U50" s="37">
        <f>IF(Tabla5[[#This Row],[PA]]=-20,0.001,IF(SUM(Tabla4[#This Row])=0,0,SUM(Tabla4[#This Row])*20/(MAX(Tabla1[#All])*COUNTA(Tabla4[#Headers]))+Tabla5[[#This Row],[TE]]+Tabla5[[#This Row],[PA]]))</f>
        <v>0</v>
      </c>
      <c r="V50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1" spans="1:22" ht="14.25" customHeight="1">
      <c r="A51" s="17">
        <v>47</v>
      </c>
      <c r="B51" s="22"/>
      <c r="C51" s="17"/>
      <c r="D51" s="17"/>
      <c r="E51" s="21"/>
      <c r="F51" s="21"/>
      <c r="G51" s="21"/>
      <c r="H51" s="21"/>
      <c r="I51" s="21"/>
      <c r="J51" s="15"/>
      <c r="K51" s="20"/>
      <c r="L51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51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51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51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51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51" s="29" t="str">
        <f>HLOOKUP(Tabla5[[#This Row],[TE]],Tabla2[],2,FALSE)</f>
        <v>Entregó el PA dentro del plazo establecido.</v>
      </c>
      <c r="R51" s="30" t="str">
        <f>HLOOKUP(Tabla5[[#This Row],[PA]],Tabla3[],2,FALSE)</f>
        <v>El trabajo presentado es original.</v>
      </c>
      <c r="S51" s="17"/>
      <c r="T51" s="18"/>
      <c r="U51" s="37">
        <f>IF(Tabla5[[#This Row],[PA]]=-20,0.001,IF(SUM(Tabla4[#This Row])=0,0,SUM(Tabla4[#This Row])*20/(MAX(Tabla1[#All])*COUNTA(Tabla4[#Headers]))+Tabla5[[#This Row],[TE]]+Tabla5[[#This Row],[PA]]))</f>
        <v>0</v>
      </c>
      <c r="V51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2" spans="1:22" ht="14.25" customHeight="1">
      <c r="A52" s="17">
        <v>48</v>
      </c>
      <c r="B52" s="22"/>
      <c r="C52" s="17"/>
      <c r="D52" s="17"/>
      <c r="E52" s="21"/>
      <c r="F52" s="21"/>
      <c r="G52" s="21"/>
      <c r="H52" s="21"/>
      <c r="I52" s="21"/>
      <c r="J52" s="15"/>
      <c r="K52" s="20"/>
      <c r="L52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52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52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52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52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52" s="29" t="str">
        <f>HLOOKUP(Tabla5[[#This Row],[TE]],Tabla2[],2,FALSE)</f>
        <v>Entregó el PA dentro del plazo establecido.</v>
      </c>
      <c r="R52" s="30" t="str">
        <f>HLOOKUP(Tabla5[[#This Row],[PA]],Tabla3[],2,FALSE)</f>
        <v>El trabajo presentado es original.</v>
      </c>
      <c r="S52" s="17"/>
      <c r="T52" s="18"/>
      <c r="U52" s="37">
        <f>IF(Tabla5[[#This Row],[PA]]=-20,0.001,IF(SUM(Tabla4[#This Row])=0,0,SUM(Tabla4[#This Row])*20/(MAX(Tabla1[#All])*COUNTA(Tabla4[#Headers]))+Tabla5[[#This Row],[TE]]+Tabla5[[#This Row],[PA]]))</f>
        <v>0</v>
      </c>
      <c r="V52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3" spans="1:22" ht="14.25" customHeight="1">
      <c r="A53" s="17">
        <v>49</v>
      </c>
      <c r="B53" s="22"/>
      <c r="C53" s="17"/>
      <c r="D53" s="17"/>
      <c r="E53" s="21"/>
      <c r="F53" s="21"/>
      <c r="G53" s="21"/>
      <c r="H53" s="21"/>
      <c r="I53" s="21"/>
      <c r="J53" s="15"/>
      <c r="K53" s="20"/>
      <c r="L53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53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53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53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53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53" s="29" t="str">
        <f>HLOOKUP(Tabla5[[#This Row],[TE]],Tabla2[],2,FALSE)</f>
        <v>Entregó el PA dentro del plazo establecido.</v>
      </c>
      <c r="R53" s="30" t="str">
        <f>HLOOKUP(Tabla5[[#This Row],[PA]],Tabla3[],2,FALSE)</f>
        <v>El trabajo presentado es original.</v>
      </c>
      <c r="S53" s="17"/>
      <c r="T53" s="18"/>
      <c r="U53" s="37">
        <f>IF(Tabla5[[#This Row],[PA]]=-20,0.001,IF(SUM(Tabla4[#This Row])=0,0,SUM(Tabla4[#This Row])*20/(MAX(Tabla1[#All])*COUNTA(Tabla4[#Headers]))+Tabla5[[#This Row],[TE]]+Tabla5[[#This Row],[PA]]))</f>
        <v>0</v>
      </c>
      <c r="V53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4" spans="1:22" ht="14.25" customHeight="1">
      <c r="A54" s="17">
        <v>50</v>
      </c>
      <c r="B54" s="22"/>
      <c r="C54" s="17"/>
      <c r="D54" s="17"/>
      <c r="E54" s="21"/>
      <c r="F54" s="21"/>
      <c r="G54" s="21"/>
      <c r="H54" s="21"/>
      <c r="I54" s="21"/>
      <c r="J54" s="15"/>
      <c r="K54" s="20"/>
      <c r="L54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54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54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54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54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54" s="29" t="str">
        <f>HLOOKUP(Tabla5[[#This Row],[TE]],Tabla2[],2,FALSE)</f>
        <v>Entregó el PA dentro del plazo establecido.</v>
      </c>
      <c r="R54" s="30" t="str">
        <f>HLOOKUP(Tabla5[[#This Row],[PA]],Tabla3[],2,FALSE)</f>
        <v>El trabajo presentado es original.</v>
      </c>
      <c r="S54" s="17"/>
      <c r="T54" s="18"/>
      <c r="U54" s="37">
        <f>IF(Tabla5[[#This Row],[PA]]=-20,0.001,IF(SUM(Tabla4[#This Row])=0,0,SUM(Tabla4[#This Row])*20/(MAX(Tabla1[#All])*COUNTA(Tabla4[#Headers]))+Tabla5[[#This Row],[TE]]+Tabla5[[#This Row],[PA]]))</f>
        <v>0</v>
      </c>
      <c r="V54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5" spans="1:22" ht="14.25" customHeight="1">
      <c r="A55" s="17">
        <v>51</v>
      </c>
      <c r="B55" s="22"/>
      <c r="C55" s="17"/>
      <c r="D55" s="17"/>
      <c r="E55" s="21"/>
      <c r="F55" s="21"/>
      <c r="G55" s="21"/>
      <c r="H55" s="21"/>
      <c r="I55" s="21"/>
      <c r="J55" s="15"/>
      <c r="K55" s="20"/>
      <c r="L55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55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55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55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55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55" s="29" t="str">
        <f>HLOOKUP(Tabla5[[#This Row],[TE]],Tabla2[],2,FALSE)</f>
        <v>Entregó el PA dentro del plazo establecido.</v>
      </c>
      <c r="R55" s="30" t="str">
        <f>HLOOKUP(Tabla5[[#This Row],[PA]],Tabla3[],2,FALSE)</f>
        <v>El trabajo presentado es original.</v>
      </c>
      <c r="S55" s="17"/>
      <c r="T55" s="18"/>
      <c r="U55" s="37">
        <f>IF(Tabla5[[#This Row],[PA]]=-20,0.001,IF(SUM(Tabla4[#This Row])=0,0,SUM(Tabla4[#This Row])*20/(MAX(Tabla1[#All])*COUNTA(Tabla4[#Headers]))+Tabla5[[#This Row],[TE]]+Tabla5[[#This Row],[PA]]))</f>
        <v>0</v>
      </c>
      <c r="V55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6" spans="1:22" ht="14.25" customHeight="1">
      <c r="A56" s="17">
        <v>52</v>
      </c>
      <c r="B56" s="22"/>
      <c r="C56" s="17"/>
      <c r="D56" s="17"/>
      <c r="E56" s="21"/>
      <c r="F56" s="21"/>
      <c r="G56" s="21"/>
      <c r="H56" s="21"/>
      <c r="I56" s="21"/>
      <c r="J56" s="15"/>
      <c r="K56" s="20"/>
      <c r="L56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56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56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56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56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56" s="29" t="str">
        <f>HLOOKUP(Tabla5[[#This Row],[TE]],Tabla2[],2,FALSE)</f>
        <v>Entregó el PA dentro del plazo establecido.</v>
      </c>
      <c r="R56" s="30" t="str">
        <f>HLOOKUP(Tabla5[[#This Row],[PA]],Tabla3[],2,FALSE)</f>
        <v>El trabajo presentado es original.</v>
      </c>
      <c r="S56" s="17"/>
      <c r="T56" s="18"/>
      <c r="U56" s="37">
        <f>IF(Tabla5[[#This Row],[PA]]=-20,0.001,IF(SUM(Tabla4[#This Row])=0,0,SUM(Tabla4[#This Row])*20/(MAX(Tabla1[#All])*COUNTA(Tabla4[#Headers]))+Tabla5[[#This Row],[TE]]+Tabla5[[#This Row],[PA]]))</f>
        <v>0</v>
      </c>
      <c r="V56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7" spans="1:22" ht="14.25" customHeight="1">
      <c r="A57" s="17">
        <v>53</v>
      </c>
      <c r="B57" s="22"/>
      <c r="C57" s="17"/>
      <c r="D57" s="17"/>
      <c r="E57" s="21"/>
      <c r="F57" s="21"/>
      <c r="G57" s="21"/>
      <c r="H57" s="21"/>
      <c r="I57" s="21"/>
      <c r="J57" s="15"/>
      <c r="K57" s="20"/>
      <c r="L57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57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57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57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57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57" s="29" t="str">
        <f>HLOOKUP(Tabla5[[#This Row],[TE]],Tabla2[],2,FALSE)</f>
        <v>Entregó el PA dentro del plazo establecido.</v>
      </c>
      <c r="R57" s="30" t="str">
        <f>HLOOKUP(Tabla5[[#This Row],[PA]],Tabla3[],2,FALSE)</f>
        <v>El trabajo presentado es original.</v>
      </c>
      <c r="S57" s="17"/>
      <c r="T57" s="18"/>
      <c r="U57" s="37">
        <f>IF(Tabla5[[#This Row],[PA]]=-20,0.001,IF(SUM(Tabla4[#This Row])=0,0,SUM(Tabla4[#This Row])*20/(MAX(Tabla1[#All])*COUNTA(Tabla4[#Headers]))+Tabla5[[#This Row],[TE]]+Tabla5[[#This Row],[PA]]))</f>
        <v>0</v>
      </c>
      <c r="V57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8" spans="1:22" ht="14.25" customHeight="1">
      <c r="A58" s="17">
        <v>54</v>
      </c>
      <c r="B58" s="22"/>
      <c r="C58" s="17"/>
      <c r="D58" s="17"/>
      <c r="E58" s="21"/>
      <c r="F58" s="21"/>
      <c r="G58" s="21"/>
      <c r="H58" s="21"/>
      <c r="I58" s="21"/>
      <c r="J58" s="15"/>
      <c r="K58" s="20"/>
      <c r="L58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58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58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58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58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58" s="29" t="str">
        <f>HLOOKUP(Tabla5[[#This Row],[TE]],Tabla2[],2,FALSE)</f>
        <v>Entregó el PA dentro del plazo establecido.</v>
      </c>
      <c r="R58" s="30" t="str">
        <f>HLOOKUP(Tabla5[[#This Row],[PA]],Tabla3[],2,FALSE)</f>
        <v>El trabajo presentado es original.</v>
      </c>
      <c r="S58" s="17"/>
      <c r="T58" s="18"/>
      <c r="U58" s="37">
        <f>IF(Tabla5[[#This Row],[PA]]=-20,0.001,IF(SUM(Tabla4[#This Row])=0,0,SUM(Tabla4[#This Row])*20/(MAX(Tabla1[#All])*COUNTA(Tabla4[#Headers]))+Tabla5[[#This Row],[TE]]+Tabla5[[#This Row],[PA]]))</f>
        <v>0</v>
      </c>
      <c r="V58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59" spans="1:22" ht="14.25" customHeight="1">
      <c r="A59" s="17">
        <v>55</v>
      </c>
      <c r="B59" s="22"/>
      <c r="C59" s="17"/>
      <c r="D59" s="17"/>
      <c r="E59" s="21"/>
      <c r="F59" s="21"/>
      <c r="G59" s="21"/>
      <c r="H59" s="21"/>
      <c r="I59" s="21"/>
      <c r="J59" s="15"/>
      <c r="K59" s="20"/>
      <c r="L59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59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59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59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59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59" s="29" t="str">
        <f>HLOOKUP(Tabla5[[#This Row],[TE]],Tabla2[],2,FALSE)</f>
        <v>Entregó el PA dentro del plazo establecido.</v>
      </c>
      <c r="R59" s="30" t="str">
        <f>HLOOKUP(Tabla5[[#This Row],[PA]],Tabla3[],2,FALSE)</f>
        <v>El trabajo presentado es original.</v>
      </c>
      <c r="S59" s="17"/>
      <c r="T59" s="18"/>
      <c r="U59" s="37">
        <f>IF(Tabla5[[#This Row],[PA]]=-20,0.001,IF(SUM(Tabla4[#This Row])=0,0,SUM(Tabla4[#This Row])*20/(MAX(Tabla1[#All])*COUNTA(Tabla4[#Headers]))+Tabla5[[#This Row],[TE]]+Tabla5[[#This Row],[PA]]))</f>
        <v>0</v>
      </c>
      <c r="V59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60" spans="1:22" ht="14.25" customHeight="1">
      <c r="A60" s="17">
        <v>56</v>
      </c>
      <c r="B60" s="22"/>
      <c r="C60" s="17"/>
      <c r="D60" s="17"/>
      <c r="E60" s="21"/>
      <c r="F60" s="21"/>
      <c r="G60" s="21"/>
      <c r="H60" s="21"/>
      <c r="I60" s="21"/>
      <c r="J60" s="15"/>
      <c r="K60" s="20"/>
      <c r="L60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60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60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60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60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60" s="29" t="str">
        <f>HLOOKUP(Tabla5[[#This Row],[TE]],Tabla2[],2,FALSE)</f>
        <v>Entregó el PA dentro del plazo establecido.</v>
      </c>
      <c r="R60" s="30" t="str">
        <f>HLOOKUP(Tabla5[[#This Row],[PA]],Tabla3[],2,FALSE)</f>
        <v>El trabajo presentado es original.</v>
      </c>
      <c r="S60" s="17"/>
      <c r="T60" s="18"/>
      <c r="U60" s="37">
        <f>IF(Tabla5[[#This Row],[PA]]=-20,0.001,IF(SUM(Tabla4[#This Row])=0,0,SUM(Tabla4[#This Row])*20/(MAX(Tabla1[#All])*COUNTA(Tabla4[#Headers]))+Tabla5[[#This Row],[TE]]+Tabla5[[#This Row],[PA]]))</f>
        <v>0</v>
      </c>
      <c r="V60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61" spans="1:22" ht="14.25" customHeight="1">
      <c r="A61" s="17">
        <v>57</v>
      </c>
      <c r="B61" s="22"/>
      <c r="C61" s="17"/>
      <c r="D61" s="17"/>
      <c r="E61" s="21"/>
      <c r="F61" s="21"/>
      <c r="G61" s="21"/>
      <c r="H61" s="21"/>
      <c r="I61" s="21"/>
      <c r="J61" s="15"/>
      <c r="K61" s="20"/>
      <c r="L61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61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61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61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61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61" s="29" t="str">
        <f>HLOOKUP(Tabla5[[#This Row],[TE]],Tabla2[],2,FALSE)</f>
        <v>Entregó el PA dentro del plazo establecido.</v>
      </c>
      <c r="R61" s="30" t="str">
        <f>HLOOKUP(Tabla5[[#This Row],[PA]],Tabla3[],2,FALSE)</f>
        <v>El trabajo presentado es original.</v>
      </c>
      <c r="S61" s="17"/>
      <c r="T61" s="18"/>
      <c r="U61" s="37">
        <f>IF(Tabla5[[#This Row],[PA]]=-20,0.001,IF(SUM(Tabla4[#This Row])=0,0,SUM(Tabla4[#This Row])*20/(MAX(Tabla1[#All])*COUNTA(Tabla4[#Headers]))+Tabla5[[#This Row],[TE]]+Tabla5[[#This Row],[PA]]))</f>
        <v>0</v>
      </c>
      <c r="V61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62" spans="1:22" ht="14.25" customHeight="1">
      <c r="A62" s="17">
        <v>58</v>
      </c>
      <c r="B62" s="22"/>
      <c r="C62" s="17"/>
      <c r="D62" s="17"/>
      <c r="E62" s="21"/>
      <c r="F62" s="21"/>
      <c r="G62" s="21"/>
      <c r="H62" s="21"/>
      <c r="I62" s="21"/>
      <c r="J62" s="15"/>
      <c r="K62" s="20"/>
      <c r="L62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62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62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62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62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62" s="29" t="str">
        <f>HLOOKUP(Tabla5[[#This Row],[TE]],Tabla2[],2,FALSE)</f>
        <v>Entregó el PA dentro del plazo establecido.</v>
      </c>
      <c r="R62" s="30" t="str">
        <f>HLOOKUP(Tabla5[[#This Row],[PA]],Tabla3[],2,FALSE)</f>
        <v>El trabajo presentado es original.</v>
      </c>
      <c r="S62" s="17"/>
      <c r="T62" s="18"/>
      <c r="U62" s="37">
        <f>IF(Tabla5[[#This Row],[PA]]=-20,0.001,IF(SUM(Tabla4[#This Row])=0,0,SUM(Tabla4[#This Row])*20/(MAX(Tabla1[#All])*COUNTA(Tabla4[#Headers]))+Tabla5[[#This Row],[TE]]+Tabla5[[#This Row],[PA]]))</f>
        <v>0</v>
      </c>
      <c r="V62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63" spans="1:22" ht="14.25" customHeight="1">
      <c r="A63" s="17">
        <v>59</v>
      </c>
      <c r="B63" s="22"/>
      <c r="C63" s="17"/>
      <c r="D63" s="17"/>
      <c r="E63" s="21"/>
      <c r="F63" s="21"/>
      <c r="G63" s="21"/>
      <c r="H63" s="21"/>
      <c r="I63" s="21"/>
      <c r="J63" s="15"/>
      <c r="K63" s="20"/>
      <c r="L63" s="2" t="str">
        <f>"
"&amp;HLOOKUP(Tabla4[[#This Row],[C1]],Tabla1[],Tabla6[[#Headers],[1]]+1,FALSE)</f>
        <v xml:space="preserve">
Criterio:
Logro esperado (feedup):
Nivel logrado y puntaje:
Retroalimentación (feedback y feedforward):</v>
      </c>
      <c r="M63" s="2" t="str">
        <f>"
"&amp;HLOOKUP(Tabla4[[#This Row],[C2]],Tabla1[],Tabla6[[#Headers],[2]]+1,FALSE)</f>
        <v xml:space="preserve">
Criterio:
Logro esperado (feedup):
Nivel logrado y puntaje:
Retroalimentación (feedback y feedforward):</v>
      </c>
      <c r="N63" s="2" t="str">
        <f>"
"&amp;HLOOKUP(Tabla4[[#This Row],[C3]],Tabla1[],Tabla6[[#Headers],[3]]+1,FALSE)</f>
        <v xml:space="preserve">
Criterio:
Logro esperado (feedup):
Nivel logrado y puntaje:
Retroalimentación (feedback y feedforward):</v>
      </c>
      <c r="O63" s="2" t="str">
        <f>"
"&amp;HLOOKUP(Tabla4[[#This Row],[C4]],Tabla1[],Tabla6[[#Headers],[4]]+1,FALSE)</f>
        <v xml:space="preserve">
Criterio:
Logro esperado (feedup):
Nivel logrado y puntaje:
Retroalimentación (feedback y feedforward):</v>
      </c>
      <c r="P63" s="2" t="str">
        <f>"
"&amp;HLOOKUP(Tabla4[[#This Row],[C5]],Tabla1[],Tabla6[[#Headers],[5]]+1,FALSE)</f>
        <v xml:space="preserve">
Criterio:
Logro esperado (feedup):
Nivel logrado y puntaje:
Retroalimentación (feedback y feedforward):</v>
      </c>
      <c r="Q63" s="29" t="str">
        <f>HLOOKUP(Tabla5[[#This Row],[TE]],Tabla2[],2,FALSE)</f>
        <v>Entregó el PA dentro del plazo establecido.</v>
      </c>
      <c r="R63" s="30" t="str">
        <f>HLOOKUP(Tabla5[[#This Row],[PA]],Tabla3[],2,FALSE)</f>
        <v>El trabajo presentado es original.</v>
      </c>
      <c r="S63" s="17"/>
      <c r="T63" s="18"/>
      <c r="U63" s="37">
        <f>IF(Tabla5[[#This Row],[PA]]=-20,0.001,IF(SUM(Tabla4[#This Row])=0,0,SUM(Tabla4[#This Row])*20/(MAX(Tabla1[#All])*COUNTA(Tabla4[#Headers]))+Tabla5[[#This Row],[TE]]+Tabla5[[#This Row],[PA]]))</f>
        <v>0</v>
      </c>
      <c r="V63" s="35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  <row r="64" spans="1:22" ht="14.25" customHeight="1">
      <c r="A64" s="17">
        <v>60</v>
      </c>
      <c r="B64" s="22"/>
      <c r="C64" s="17"/>
      <c r="D64" s="17"/>
      <c r="E64" s="21"/>
      <c r="F64" s="21"/>
      <c r="G64" s="23"/>
      <c r="H64" s="23"/>
      <c r="I64" s="23"/>
      <c r="J64" s="15"/>
      <c r="K64" s="20"/>
      <c r="L64" s="3" t="str">
        <f>"
"&amp;HLOOKUP(Tabla4[[#This Row],[C1]],Tabla1[],Tabla6[[#Headers],[1]]+1,FALSE)</f>
        <v xml:space="preserve">
Criterio:
Logro esperado (feedup):
Nivel logrado y puntaje:
Retroalimentación (feedback y feedforward):</v>
      </c>
      <c r="M64" s="3" t="str">
        <f>"
"&amp;HLOOKUP(Tabla4[[#This Row],[C2]],Tabla1[],Tabla6[[#Headers],[2]]+1,FALSE)</f>
        <v xml:space="preserve">
Criterio:
Logro esperado (feedup):
Nivel logrado y puntaje:
Retroalimentación (feedback y feedforward):</v>
      </c>
      <c r="N64" s="3" t="str">
        <f>"
"&amp;HLOOKUP(Tabla4[[#This Row],[C3]],Tabla1[],Tabla6[[#Headers],[3]]+1,FALSE)</f>
        <v xml:space="preserve">
Criterio:
Logro esperado (feedup):
Nivel logrado y puntaje:
Retroalimentación (feedback y feedforward):</v>
      </c>
      <c r="O64" s="3" t="str">
        <f>"
"&amp;HLOOKUP(Tabla4[[#This Row],[C4]],Tabla1[],Tabla6[[#Headers],[4]]+1,FALSE)</f>
        <v xml:space="preserve">
Criterio:
Logro esperado (feedup):
Nivel logrado y puntaje:
Retroalimentación (feedback y feedforward):</v>
      </c>
      <c r="P64" s="3" t="str">
        <f>"
"&amp;HLOOKUP(Tabla4[[#This Row],[C5]],Tabla1[],Tabla6[[#Headers],[5]]+1,FALSE)</f>
        <v xml:space="preserve">
Criterio:
Logro esperado (feedup):
Nivel logrado y puntaje:
Retroalimentación (feedback y feedforward):</v>
      </c>
      <c r="Q64" s="31" t="str">
        <f>HLOOKUP(Tabla5[[#This Row],[TE]],Tabla2[],2,FALSE)</f>
        <v>Entregó el PA dentro del plazo establecido.</v>
      </c>
      <c r="R64" s="32" t="str">
        <f>HLOOKUP(Tabla5[[#This Row],[PA]],Tabla3[],2,FALSE)</f>
        <v>El trabajo presentado es original.</v>
      </c>
      <c r="S64" s="24"/>
      <c r="T64" s="25"/>
      <c r="U64" s="37">
        <f>IF(Tabla5[[#This Row],[PA]]=-20,0.001,IF(SUM(Tabla4[#This Row])=0,0,SUM(Tabla4[#This Row])*20/(MAX(Tabla1[#All])*COUNTA(Tabla4[#Headers]))+Tabla5[[#This Row],[TE]]+Tabla5[[#This Row],[PA]]))</f>
        <v>0</v>
      </c>
      <c r="V64" s="36" t="str">
        <f>IF(Tabla8[[#This Row],[Tarea:Producto Académico N°…]]=0.001,Feedback!$D$9&amp;"
"&amp;Tabla10[[#This Row],[Comentario adicional]],IF(SUM(Tabla4[#This Row])=0,"No presentó el PA",_xlfn.CONCAT(Tabla6[#This Row])&amp;"
"&amp;Tabla7[[#This Row],[TE]]&amp;"
"&amp;Tabla7[[#This Row],[PA]]&amp;"
"&amp;Tabla10[[#This Row],[Comentario adicional]]))</f>
        <v>No presentó el PA</v>
      </c>
    </row>
  </sheetData>
  <sheetProtection sheet="1" objects="1" scenarios="1"/>
  <mergeCells count="3">
    <mergeCell ref="B2:D2"/>
    <mergeCell ref="B3:D3"/>
    <mergeCell ref="A1:X1"/>
  </mergeCells>
  <phoneticPr fontId="13" type="noConversion"/>
  <dataValidations count="3">
    <dataValidation type="list" allowBlank="1" showInputMessage="1" showErrorMessage="1" errorTitle="Dato incorrecto" error="El dato ingresado es incorrecto porque no coincide con los puntos de la matriz de feedback." sqref="E5:I64" xr:uid="{7A5EE452-DE36-4CBD-978D-6C0226126B97}">
      <formula1>Puntos</formula1>
    </dataValidation>
    <dataValidation type="list" allowBlank="1" showInputMessage="1" showErrorMessage="1" errorTitle="Dato incorrecto" error="El dato ingresado es incorrecto porque no coincide con los puntos de descuento sobre tiempo de entrega." sqref="J5:J64" xr:uid="{C41F0D7B-4F8E-4C0D-8528-6F8F3A1B2736}">
      <formula1>Puntos_TE</formula1>
    </dataValidation>
    <dataValidation type="list" allowBlank="1" showInputMessage="1" showErrorMessage="1" error="El dato ingresado es incorrecto porque no coincide con los puntos de descuento sobre probidad académica." sqref="K5:K64" xr:uid="{2FA9E31F-F053-4D5C-9C1E-92C93649A6B5}">
      <formula1>Puntos_PA</formula1>
    </dataValidation>
  </dataValidations>
  <pageMargins left="0.7" right="0.7" top="0.75" bottom="0.75" header="0" footer="0"/>
  <pageSetup paperSize="9" scale="32" orientation="portrait" r:id="rId1"/>
  <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F0000"/>
  </sheetPr>
  <dimension ref="B1:G62"/>
  <sheetViews>
    <sheetView showGridLines="0" view="pageBreakPreview" zoomScaleNormal="100" zoomScaleSheetLayoutView="100" workbookViewId="0">
      <selection activeCell="D3" sqref="D3"/>
    </sheetView>
  </sheetViews>
  <sheetFormatPr baseColWidth="10" defaultColWidth="4" defaultRowHeight="15" customHeight="1"/>
  <cols>
    <col min="2" max="2" width="12.375" hidden="1" customWidth="1"/>
    <col min="3" max="3" width="14.5" hidden="1" customWidth="1"/>
    <col min="4" max="4" width="38.75" customWidth="1"/>
    <col min="5" max="5" width="28" customWidth="1"/>
    <col min="6" max="6" width="21.25" customWidth="1"/>
    <col min="7" max="7" width="27.875" customWidth="1"/>
    <col min="11" max="11" width="4.5" customWidth="1"/>
  </cols>
  <sheetData>
    <row r="1" spans="2:7" ht="27" customHeight="1">
      <c r="D1" s="87" t="s">
        <v>48</v>
      </c>
      <c r="E1" s="87"/>
      <c r="F1" s="87"/>
      <c r="G1" s="87"/>
    </row>
    <row r="2" spans="2:7" ht="29.25" customHeight="1">
      <c r="B2" s="46" t="s">
        <v>11</v>
      </c>
      <c r="C2" s="47" t="s">
        <v>12</v>
      </c>
      <c r="D2" s="47" t="s">
        <v>43</v>
      </c>
      <c r="E2" s="47" t="s">
        <v>14</v>
      </c>
      <c r="F2" s="47" t="s">
        <v>15</v>
      </c>
      <c r="G2" s="48" t="s">
        <v>16</v>
      </c>
    </row>
    <row r="3" spans="2:7" ht="14.25" customHeight="1">
      <c r="B3" s="49">
        <f>Calificar!B5</f>
        <v>0</v>
      </c>
      <c r="C3" s="50">
        <f>Calificar!C5</f>
        <v>0</v>
      </c>
      <c r="D3" s="50" t="str">
        <f>CONCATENATE(Tabla12[[#This Row],[Nombre]]," ",Tabla12[[#This Row],[Apellido(s)]])</f>
        <v>0 0</v>
      </c>
      <c r="E3" s="50">
        <f>Calificar!T5</f>
        <v>0</v>
      </c>
      <c r="F3" s="51">
        <f>Calificar!U5</f>
        <v>0</v>
      </c>
      <c r="G3" s="52" t="str">
        <f>Calificar!V5</f>
        <v>No presentó el PA</v>
      </c>
    </row>
    <row r="4" spans="2:7" ht="14.25" customHeight="1">
      <c r="B4" s="49">
        <f>Calificar!B6</f>
        <v>0</v>
      </c>
      <c r="C4" s="50">
        <f>Calificar!C6</f>
        <v>0</v>
      </c>
      <c r="D4" s="50" t="str">
        <f>CONCATENATE(Tabla12[[#This Row],[Nombre]]," ",Tabla12[[#This Row],[Apellido(s)]])</f>
        <v>0 0</v>
      </c>
      <c r="E4" s="50">
        <f>Calificar!T6</f>
        <v>0</v>
      </c>
      <c r="F4" s="51">
        <f>Calificar!U6</f>
        <v>0</v>
      </c>
      <c r="G4" s="52" t="str">
        <f>Calificar!V6</f>
        <v>No presentó el PA</v>
      </c>
    </row>
    <row r="5" spans="2:7" ht="14.25" customHeight="1">
      <c r="B5" s="49">
        <f>Calificar!B7</f>
        <v>0</v>
      </c>
      <c r="C5" s="50">
        <f>Calificar!C7</f>
        <v>0</v>
      </c>
      <c r="D5" s="50" t="str">
        <f>CONCATENATE(Tabla12[[#This Row],[Nombre]]," ",Tabla12[[#This Row],[Apellido(s)]])</f>
        <v>0 0</v>
      </c>
      <c r="E5" s="50">
        <f>Calificar!T7</f>
        <v>0</v>
      </c>
      <c r="F5" s="51">
        <f>Calificar!U7</f>
        <v>0</v>
      </c>
      <c r="G5" s="52" t="str">
        <f>Calificar!V7</f>
        <v>No presentó el PA</v>
      </c>
    </row>
    <row r="6" spans="2:7" ht="14.25" customHeight="1">
      <c r="B6" s="49">
        <f>Calificar!B8</f>
        <v>0</v>
      </c>
      <c r="C6" s="50">
        <f>Calificar!C8</f>
        <v>0</v>
      </c>
      <c r="D6" s="50" t="str">
        <f>CONCATENATE(Tabla12[[#This Row],[Nombre]]," ",Tabla12[[#This Row],[Apellido(s)]])</f>
        <v>0 0</v>
      </c>
      <c r="E6" s="50">
        <f>Calificar!T8</f>
        <v>0</v>
      </c>
      <c r="F6" s="51">
        <f>Calificar!U8</f>
        <v>0</v>
      </c>
      <c r="G6" s="52" t="str">
        <f>Calificar!V8</f>
        <v>No presentó el PA</v>
      </c>
    </row>
    <row r="7" spans="2:7" ht="14.25" customHeight="1">
      <c r="B7" s="49">
        <f>Calificar!B9</f>
        <v>0</v>
      </c>
      <c r="C7" s="50">
        <f>Calificar!C9</f>
        <v>0</v>
      </c>
      <c r="D7" s="50" t="str">
        <f>CONCATENATE(Tabla12[[#This Row],[Nombre]]," ",Tabla12[[#This Row],[Apellido(s)]])</f>
        <v>0 0</v>
      </c>
      <c r="E7" s="50">
        <f>Calificar!T9</f>
        <v>0</v>
      </c>
      <c r="F7" s="51">
        <f>Calificar!U9</f>
        <v>0</v>
      </c>
      <c r="G7" s="52" t="str">
        <f>Calificar!V9</f>
        <v>No presentó el PA</v>
      </c>
    </row>
    <row r="8" spans="2:7" ht="14.25" customHeight="1">
      <c r="B8" s="49">
        <f>Calificar!B10</f>
        <v>0</v>
      </c>
      <c r="C8" s="50">
        <f>Calificar!C10</f>
        <v>0</v>
      </c>
      <c r="D8" s="50" t="str">
        <f>CONCATENATE(Tabla12[[#This Row],[Nombre]]," ",Tabla12[[#This Row],[Apellido(s)]])</f>
        <v>0 0</v>
      </c>
      <c r="E8" s="50">
        <f>Calificar!T10</f>
        <v>0</v>
      </c>
      <c r="F8" s="51">
        <f>Calificar!U10</f>
        <v>0</v>
      </c>
      <c r="G8" s="52" t="str">
        <f>Calificar!V10</f>
        <v>No presentó el PA</v>
      </c>
    </row>
    <row r="9" spans="2:7" ht="14.25" customHeight="1">
      <c r="B9" s="49">
        <f>Calificar!B11</f>
        <v>0</v>
      </c>
      <c r="C9" s="50">
        <f>Calificar!C11</f>
        <v>0</v>
      </c>
      <c r="D9" s="50" t="str">
        <f>CONCATENATE(Tabla12[[#This Row],[Nombre]]," ",Tabla12[[#This Row],[Apellido(s)]])</f>
        <v>0 0</v>
      </c>
      <c r="E9" s="50">
        <f>Calificar!T11</f>
        <v>0</v>
      </c>
      <c r="F9" s="51">
        <f>Calificar!U11</f>
        <v>0</v>
      </c>
      <c r="G9" s="52" t="str">
        <f>Calificar!V11</f>
        <v>No presentó el PA</v>
      </c>
    </row>
    <row r="10" spans="2:7" ht="14.25" customHeight="1">
      <c r="B10" s="49">
        <f>Calificar!B12</f>
        <v>0</v>
      </c>
      <c r="C10" s="50">
        <f>Calificar!C12</f>
        <v>0</v>
      </c>
      <c r="D10" s="50" t="str">
        <f>CONCATENATE(Tabla12[[#This Row],[Nombre]]," ",Tabla12[[#This Row],[Apellido(s)]])</f>
        <v>0 0</v>
      </c>
      <c r="E10" s="50">
        <f>Calificar!T12</f>
        <v>0</v>
      </c>
      <c r="F10" s="51">
        <f>Calificar!U12</f>
        <v>0</v>
      </c>
      <c r="G10" s="52" t="str">
        <f>Calificar!V12</f>
        <v>No presentó el PA</v>
      </c>
    </row>
    <row r="11" spans="2:7" ht="14.25" customHeight="1">
      <c r="B11" s="49">
        <f>Calificar!B13</f>
        <v>0</v>
      </c>
      <c r="C11" s="50">
        <f>Calificar!C13</f>
        <v>0</v>
      </c>
      <c r="D11" s="50" t="str">
        <f>CONCATENATE(Tabla12[[#This Row],[Nombre]]," ",Tabla12[[#This Row],[Apellido(s)]])</f>
        <v>0 0</v>
      </c>
      <c r="E11" s="50">
        <f>Calificar!T13</f>
        <v>0</v>
      </c>
      <c r="F11" s="51">
        <f>Calificar!U13</f>
        <v>0</v>
      </c>
      <c r="G11" s="52" t="str">
        <f>Calificar!V13</f>
        <v>No presentó el PA</v>
      </c>
    </row>
    <row r="12" spans="2:7" ht="14.25" customHeight="1">
      <c r="B12" s="49">
        <f>Calificar!B14</f>
        <v>0</v>
      </c>
      <c r="C12" s="50">
        <f>Calificar!C14</f>
        <v>0</v>
      </c>
      <c r="D12" s="50" t="str">
        <f>CONCATENATE(Tabla12[[#This Row],[Nombre]]," ",Tabla12[[#This Row],[Apellido(s)]])</f>
        <v>0 0</v>
      </c>
      <c r="E12" s="50">
        <f>Calificar!T14</f>
        <v>0</v>
      </c>
      <c r="F12" s="51">
        <f>Calificar!U14</f>
        <v>0</v>
      </c>
      <c r="G12" s="52" t="str">
        <f>Calificar!V14</f>
        <v>No presentó el PA</v>
      </c>
    </row>
    <row r="13" spans="2:7" ht="14.25" customHeight="1">
      <c r="B13" s="49">
        <f>Calificar!B15</f>
        <v>0</v>
      </c>
      <c r="C13" s="50">
        <f>Calificar!C15</f>
        <v>0</v>
      </c>
      <c r="D13" s="50" t="str">
        <f>CONCATENATE(Tabla12[[#This Row],[Nombre]]," ",Tabla12[[#This Row],[Apellido(s)]])</f>
        <v>0 0</v>
      </c>
      <c r="E13" s="50">
        <f>Calificar!T15</f>
        <v>0</v>
      </c>
      <c r="F13" s="51">
        <f>Calificar!U15</f>
        <v>0</v>
      </c>
      <c r="G13" s="52" t="str">
        <f>Calificar!V15</f>
        <v>No presentó el PA</v>
      </c>
    </row>
    <row r="14" spans="2:7" ht="14.25" customHeight="1">
      <c r="B14" s="49">
        <f>Calificar!B16</f>
        <v>0</v>
      </c>
      <c r="C14" s="50">
        <f>Calificar!C16</f>
        <v>0</v>
      </c>
      <c r="D14" s="50" t="str">
        <f>CONCATENATE(Tabla12[[#This Row],[Nombre]]," ",Tabla12[[#This Row],[Apellido(s)]])</f>
        <v>0 0</v>
      </c>
      <c r="E14" s="50">
        <f>Calificar!T16</f>
        <v>0</v>
      </c>
      <c r="F14" s="51">
        <f>Calificar!U16</f>
        <v>0</v>
      </c>
      <c r="G14" s="52" t="str">
        <f>Calificar!V16</f>
        <v>No presentó el PA</v>
      </c>
    </row>
    <row r="15" spans="2:7" ht="14.25" customHeight="1">
      <c r="B15" s="49">
        <f>Calificar!B17</f>
        <v>0</v>
      </c>
      <c r="C15" s="50">
        <f>Calificar!C17</f>
        <v>0</v>
      </c>
      <c r="D15" s="50" t="str">
        <f>CONCATENATE(Tabla12[[#This Row],[Nombre]]," ",Tabla12[[#This Row],[Apellido(s)]])</f>
        <v>0 0</v>
      </c>
      <c r="E15" s="50">
        <f>Calificar!T17</f>
        <v>0</v>
      </c>
      <c r="F15" s="51">
        <f>Calificar!U17</f>
        <v>0</v>
      </c>
      <c r="G15" s="52" t="str">
        <f>Calificar!V17</f>
        <v>No presentó el PA</v>
      </c>
    </row>
    <row r="16" spans="2:7" ht="14.25" customHeight="1">
      <c r="B16" s="49">
        <f>Calificar!B18</f>
        <v>0</v>
      </c>
      <c r="C16" s="50">
        <f>Calificar!C18</f>
        <v>0</v>
      </c>
      <c r="D16" s="50" t="str">
        <f>CONCATENATE(Tabla12[[#This Row],[Nombre]]," ",Tabla12[[#This Row],[Apellido(s)]])</f>
        <v>0 0</v>
      </c>
      <c r="E16" s="50">
        <f>Calificar!T18</f>
        <v>0</v>
      </c>
      <c r="F16" s="51">
        <f>Calificar!U18</f>
        <v>0</v>
      </c>
      <c r="G16" s="52" t="str">
        <f>Calificar!V18</f>
        <v>No presentó el PA</v>
      </c>
    </row>
    <row r="17" spans="2:7" ht="14.25" customHeight="1">
      <c r="B17" s="49">
        <f>Calificar!B19</f>
        <v>0</v>
      </c>
      <c r="C17" s="50">
        <f>Calificar!C19</f>
        <v>0</v>
      </c>
      <c r="D17" s="50" t="str">
        <f>CONCATENATE(Tabla12[[#This Row],[Nombre]]," ",Tabla12[[#This Row],[Apellido(s)]])</f>
        <v>0 0</v>
      </c>
      <c r="E17" s="50">
        <f>Calificar!T19</f>
        <v>0</v>
      </c>
      <c r="F17" s="51">
        <f>Calificar!U19</f>
        <v>0</v>
      </c>
      <c r="G17" s="52" t="str">
        <f>Calificar!V19</f>
        <v>No presentó el PA</v>
      </c>
    </row>
    <row r="18" spans="2:7" ht="14.25" customHeight="1">
      <c r="B18" s="49">
        <f>Calificar!B20</f>
        <v>0</v>
      </c>
      <c r="C18" s="50">
        <f>Calificar!C20</f>
        <v>0</v>
      </c>
      <c r="D18" s="50" t="str">
        <f>CONCATENATE(Tabla12[[#This Row],[Nombre]]," ",Tabla12[[#This Row],[Apellido(s)]])</f>
        <v>0 0</v>
      </c>
      <c r="E18" s="50">
        <f>Calificar!T20</f>
        <v>0</v>
      </c>
      <c r="F18" s="51">
        <f>Calificar!U20</f>
        <v>0</v>
      </c>
      <c r="G18" s="52" t="str">
        <f>Calificar!V20</f>
        <v>No presentó el PA</v>
      </c>
    </row>
    <row r="19" spans="2:7" ht="14.25" customHeight="1">
      <c r="B19" s="49">
        <f>Calificar!B21</f>
        <v>0</v>
      </c>
      <c r="C19" s="50">
        <f>Calificar!C21</f>
        <v>0</v>
      </c>
      <c r="D19" s="50" t="str">
        <f>CONCATENATE(Tabla12[[#This Row],[Nombre]]," ",Tabla12[[#This Row],[Apellido(s)]])</f>
        <v>0 0</v>
      </c>
      <c r="E19" s="50">
        <f>Calificar!T21</f>
        <v>0</v>
      </c>
      <c r="F19" s="51">
        <f>Calificar!U21</f>
        <v>0</v>
      </c>
      <c r="G19" s="52" t="str">
        <f>Calificar!V21</f>
        <v>No presentó el PA</v>
      </c>
    </row>
    <row r="20" spans="2:7" ht="14.25" customHeight="1">
      <c r="B20" s="49">
        <f>Calificar!B22</f>
        <v>0</v>
      </c>
      <c r="C20" s="50">
        <f>Calificar!C22</f>
        <v>0</v>
      </c>
      <c r="D20" s="50" t="str">
        <f>CONCATENATE(Tabla12[[#This Row],[Nombre]]," ",Tabla12[[#This Row],[Apellido(s)]])</f>
        <v>0 0</v>
      </c>
      <c r="E20" s="50">
        <f>Calificar!T22</f>
        <v>0</v>
      </c>
      <c r="F20" s="51">
        <f>Calificar!U22</f>
        <v>0</v>
      </c>
      <c r="G20" s="52" t="str">
        <f>Calificar!V22</f>
        <v>No presentó el PA</v>
      </c>
    </row>
    <row r="21" spans="2:7" ht="14.25" customHeight="1">
      <c r="B21" s="49">
        <f>Calificar!B23</f>
        <v>0</v>
      </c>
      <c r="C21" s="50">
        <f>Calificar!C23</f>
        <v>0</v>
      </c>
      <c r="D21" s="50" t="str">
        <f>CONCATENATE(Tabla12[[#This Row],[Nombre]]," ",Tabla12[[#This Row],[Apellido(s)]])</f>
        <v>0 0</v>
      </c>
      <c r="E21" s="50">
        <f>Calificar!T23</f>
        <v>0</v>
      </c>
      <c r="F21" s="51">
        <f>Calificar!U23</f>
        <v>0</v>
      </c>
      <c r="G21" s="52" t="str">
        <f>Calificar!V23</f>
        <v>No presentó el PA</v>
      </c>
    </row>
    <row r="22" spans="2:7" ht="14.25" customHeight="1">
      <c r="B22" s="49">
        <f>Calificar!B24</f>
        <v>0</v>
      </c>
      <c r="C22" s="50">
        <f>Calificar!C24</f>
        <v>0</v>
      </c>
      <c r="D22" s="50" t="str">
        <f>CONCATENATE(Tabla12[[#This Row],[Nombre]]," ",Tabla12[[#This Row],[Apellido(s)]])</f>
        <v>0 0</v>
      </c>
      <c r="E22" s="50">
        <f>Calificar!T24</f>
        <v>0</v>
      </c>
      <c r="F22" s="51">
        <f>Calificar!U24</f>
        <v>0</v>
      </c>
      <c r="G22" s="52" t="str">
        <f>Calificar!V24</f>
        <v>No presentó el PA</v>
      </c>
    </row>
    <row r="23" spans="2:7" ht="14.25" customHeight="1">
      <c r="B23" s="49">
        <f>Calificar!B25</f>
        <v>0</v>
      </c>
      <c r="C23" s="50">
        <f>Calificar!C25</f>
        <v>0</v>
      </c>
      <c r="D23" s="50" t="str">
        <f>CONCATENATE(Tabla12[[#This Row],[Nombre]]," ",Tabla12[[#This Row],[Apellido(s)]])</f>
        <v>0 0</v>
      </c>
      <c r="E23" s="50">
        <f>Calificar!T25</f>
        <v>0</v>
      </c>
      <c r="F23" s="51">
        <f>Calificar!U25</f>
        <v>0</v>
      </c>
      <c r="G23" s="52" t="str">
        <f>Calificar!V25</f>
        <v>No presentó el PA</v>
      </c>
    </row>
    <row r="24" spans="2:7" ht="14.25" customHeight="1">
      <c r="B24" s="49">
        <f>Calificar!B26</f>
        <v>0</v>
      </c>
      <c r="C24" s="50">
        <f>Calificar!C26</f>
        <v>0</v>
      </c>
      <c r="D24" s="50" t="str">
        <f>CONCATENATE(Tabla12[[#This Row],[Nombre]]," ",Tabla12[[#This Row],[Apellido(s)]])</f>
        <v>0 0</v>
      </c>
      <c r="E24" s="50">
        <f>Calificar!T26</f>
        <v>0</v>
      </c>
      <c r="F24" s="51">
        <f>Calificar!U26</f>
        <v>0</v>
      </c>
      <c r="G24" s="52" t="str">
        <f>Calificar!V26</f>
        <v>No presentó el PA</v>
      </c>
    </row>
    <row r="25" spans="2:7" ht="14.25" customHeight="1">
      <c r="B25" s="49">
        <f>Calificar!B27</f>
        <v>0</v>
      </c>
      <c r="C25" s="50">
        <f>Calificar!C27</f>
        <v>0</v>
      </c>
      <c r="D25" s="50" t="str">
        <f>CONCATENATE(Tabla12[[#This Row],[Nombre]]," ",Tabla12[[#This Row],[Apellido(s)]])</f>
        <v>0 0</v>
      </c>
      <c r="E25" s="50">
        <f>Calificar!T27</f>
        <v>0</v>
      </c>
      <c r="F25" s="51">
        <f>Calificar!U27</f>
        <v>0</v>
      </c>
      <c r="G25" s="52" t="str">
        <f>Calificar!V27</f>
        <v>No presentó el PA</v>
      </c>
    </row>
    <row r="26" spans="2:7" ht="14.25" customHeight="1">
      <c r="B26" s="49">
        <f>Calificar!B28</f>
        <v>0</v>
      </c>
      <c r="C26" s="50">
        <f>Calificar!C28</f>
        <v>0</v>
      </c>
      <c r="D26" s="50" t="str">
        <f>CONCATENATE(Tabla12[[#This Row],[Nombre]]," ",Tabla12[[#This Row],[Apellido(s)]])</f>
        <v>0 0</v>
      </c>
      <c r="E26" s="50">
        <f>Calificar!T28</f>
        <v>0</v>
      </c>
      <c r="F26" s="51">
        <f>Calificar!U28</f>
        <v>0</v>
      </c>
      <c r="G26" s="52" t="str">
        <f>Calificar!V28</f>
        <v>No presentó el PA</v>
      </c>
    </row>
    <row r="27" spans="2:7" ht="14.25" customHeight="1">
      <c r="B27" s="49">
        <f>Calificar!B29</f>
        <v>0</v>
      </c>
      <c r="C27" s="50">
        <f>Calificar!C29</f>
        <v>0</v>
      </c>
      <c r="D27" s="50" t="str">
        <f>CONCATENATE(Tabla12[[#This Row],[Nombre]]," ",Tabla12[[#This Row],[Apellido(s)]])</f>
        <v>0 0</v>
      </c>
      <c r="E27" s="50">
        <f>Calificar!T29</f>
        <v>0</v>
      </c>
      <c r="F27" s="51">
        <f>Calificar!U29</f>
        <v>0</v>
      </c>
      <c r="G27" s="52" t="str">
        <f>Calificar!V29</f>
        <v>No presentó el PA</v>
      </c>
    </row>
    <row r="28" spans="2:7" ht="14.25" customHeight="1">
      <c r="B28" s="49">
        <f>Calificar!B30</f>
        <v>0</v>
      </c>
      <c r="C28" s="50">
        <f>Calificar!C30</f>
        <v>0</v>
      </c>
      <c r="D28" s="50" t="str">
        <f>CONCATENATE(Tabla12[[#This Row],[Nombre]]," ",Tabla12[[#This Row],[Apellido(s)]])</f>
        <v>0 0</v>
      </c>
      <c r="E28" s="50">
        <f>Calificar!T30</f>
        <v>0</v>
      </c>
      <c r="F28" s="51">
        <f>Calificar!U30</f>
        <v>0</v>
      </c>
      <c r="G28" s="52" t="str">
        <f>Calificar!V30</f>
        <v>No presentó el PA</v>
      </c>
    </row>
    <row r="29" spans="2:7" ht="14.25" customHeight="1">
      <c r="B29" s="49">
        <f>Calificar!B31</f>
        <v>0</v>
      </c>
      <c r="C29" s="50">
        <f>Calificar!C31</f>
        <v>0</v>
      </c>
      <c r="D29" s="50" t="str">
        <f>CONCATENATE(Tabla12[[#This Row],[Nombre]]," ",Tabla12[[#This Row],[Apellido(s)]])</f>
        <v>0 0</v>
      </c>
      <c r="E29" s="50">
        <f>Calificar!T31</f>
        <v>0</v>
      </c>
      <c r="F29" s="51">
        <f>Calificar!U31</f>
        <v>0</v>
      </c>
      <c r="G29" s="52" t="str">
        <f>Calificar!V31</f>
        <v>No presentó el PA</v>
      </c>
    </row>
    <row r="30" spans="2:7" ht="14.25" customHeight="1">
      <c r="B30" s="49">
        <f>Calificar!B32</f>
        <v>0</v>
      </c>
      <c r="C30" s="50">
        <f>Calificar!C32</f>
        <v>0</v>
      </c>
      <c r="D30" s="50" t="str">
        <f>CONCATENATE(Tabla12[[#This Row],[Nombre]]," ",Tabla12[[#This Row],[Apellido(s)]])</f>
        <v>0 0</v>
      </c>
      <c r="E30" s="50">
        <f>Calificar!T32</f>
        <v>0</v>
      </c>
      <c r="F30" s="51">
        <f>Calificar!U32</f>
        <v>0</v>
      </c>
      <c r="G30" s="52" t="str">
        <f>Calificar!V32</f>
        <v>No presentó el PA</v>
      </c>
    </row>
    <row r="31" spans="2:7" ht="14.25" customHeight="1">
      <c r="B31" s="49">
        <f>Calificar!B33</f>
        <v>0</v>
      </c>
      <c r="C31" s="50">
        <f>Calificar!C33</f>
        <v>0</v>
      </c>
      <c r="D31" s="50" t="str">
        <f>CONCATENATE(Tabla12[[#This Row],[Nombre]]," ",Tabla12[[#This Row],[Apellido(s)]])</f>
        <v>0 0</v>
      </c>
      <c r="E31" s="50">
        <f>Calificar!T33</f>
        <v>0</v>
      </c>
      <c r="F31" s="51">
        <f>Calificar!U33</f>
        <v>0</v>
      </c>
      <c r="G31" s="52" t="str">
        <f>Calificar!V33</f>
        <v>No presentó el PA</v>
      </c>
    </row>
    <row r="32" spans="2:7" ht="14.25" customHeight="1">
      <c r="B32" s="49">
        <f>Calificar!B34</f>
        <v>0</v>
      </c>
      <c r="C32" s="50">
        <f>Calificar!C34</f>
        <v>0</v>
      </c>
      <c r="D32" s="50" t="str">
        <f>CONCATENATE(Tabla12[[#This Row],[Nombre]]," ",Tabla12[[#This Row],[Apellido(s)]])</f>
        <v>0 0</v>
      </c>
      <c r="E32" s="50">
        <f>Calificar!T34</f>
        <v>0</v>
      </c>
      <c r="F32" s="51">
        <f>Calificar!U34</f>
        <v>0</v>
      </c>
      <c r="G32" s="52" t="str">
        <f>Calificar!V34</f>
        <v>No presentó el PA</v>
      </c>
    </row>
    <row r="33" spans="2:7" ht="14.25" customHeight="1">
      <c r="B33" s="49">
        <f>Calificar!B35</f>
        <v>0</v>
      </c>
      <c r="C33" s="50">
        <f>Calificar!C35</f>
        <v>0</v>
      </c>
      <c r="D33" s="50" t="str">
        <f>CONCATENATE(Tabla12[[#This Row],[Nombre]]," ",Tabla12[[#This Row],[Apellido(s)]])</f>
        <v>0 0</v>
      </c>
      <c r="E33" s="50">
        <f>Calificar!T35</f>
        <v>0</v>
      </c>
      <c r="F33" s="51">
        <f>Calificar!U35</f>
        <v>0</v>
      </c>
      <c r="G33" s="52" t="str">
        <f>Calificar!V35</f>
        <v>No presentó el PA</v>
      </c>
    </row>
    <row r="34" spans="2:7" ht="14.25" customHeight="1">
      <c r="B34" s="49">
        <f>Calificar!B36</f>
        <v>0</v>
      </c>
      <c r="C34" s="50">
        <f>Calificar!C36</f>
        <v>0</v>
      </c>
      <c r="D34" s="50" t="str">
        <f>CONCATENATE(Tabla12[[#This Row],[Nombre]]," ",Tabla12[[#This Row],[Apellido(s)]])</f>
        <v>0 0</v>
      </c>
      <c r="E34" s="50">
        <f>Calificar!T36</f>
        <v>0</v>
      </c>
      <c r="F34" s="51">
        <f>Calificar!U36</f>
        <v>0</v>
      </c>
      <c r="G34" s="52" t="str">
        <f>Calificar!V36</f>
        <v>No presentó el PA</v>
      </c>
    </row>
    <row r="35" spans="2:7" ht="14.25" customHeight="1">
      <c r="B35" s="49">
        <f>Calificar!B37</f>
        <v>0</v>
      </c>
      <c r="C35" s="50">
        <f>Calificar!C37</f>
        <v>0</v>
      </c>
      <c r="D35" s="50" t="str">
        <f>CONCATENATE(Tabla12[[#This Row],[Nombre]]," ",Tabla12[[#This Row],[Apellido(s)]])</f>
        <v>0 0</v>
      </c>
      <c r="E35" s="50">
        <f>Calificar!T37</f>
        <v>0</v>
      </c>
      <c r="F35" s="51">
        <f>Calificar!U37</f>
        <v>0</v>
      </c>
      <c r="G35" s="52" t="str">
        <f>Calificar!V37</f>
        <v>No presentó el PA</v>
      </c>
    </row>
    <row r="36" spans="2:7" ht="14.25" customHeight="1">
      <c r="B36" s="49">
        <f>Calificar!B38</f>
        <v>0</v>
      </c>
      <c r="C36" s="50">
        <f>Calificar!C38</f>
        <v>0</v>
      </c>
      <c r="D36" s="50" t="str">
        <f>CONCATENATE(Tabla12[[#This Row],[Nombre]]," ",Tabla12[[#This Row],[Apellido(s)]])</f>
        <v>0 0</v>
      </c>
      <c r="E36" s="50">
        <f>Calificar!T38</f>
        <v>0</v>
      </c>
      <c r="F36" s="51">
        <f>Calificar!U38</f>
        <v>0</v>
      </c>
      <c r="G36" s="52" t="str">
        <f>Calificar!V38</f>
        <v>No presentó el PA</v>
      </c>
    </row>
    <row r="37" spans="2:7" ht="14.25" customHeight="1">
      <c r="B37" s="49">
        <f>Calificar!B39</f>
        <v>0</v>
      </c>
      <c r="C37" s="50">
        <f>Calificar!C39</f>
        <v>0</v>
      </c>
      <c r="D37" s="50" t="str">
        <f>CONCATENATE(Tabla12[[#This Row],[Nombre]]," ",Tabla12[[#This Row],[Apellido(s)]])</f>
        <v>0 0</v>
      </c>
      <c r="E37" s="50">
        <f>Calificar!T39</f>
        <v>0</v>
      </c>
      <c r="F37" s="51">
        <f>Calificar!U39</f>
        <v>0</v>
      </c>
      <c r="G37" s="52" t="str">
        <f>Calificar!V39</f>
        <v>No presentó el PA</v>
      </c>
    </row>
    <row r="38" spans="2:7" ht="14.25" customHeight="1">
      <c r="B38" s="49">
        <f>Calificar!B40</f>
        <v>0</v>
      </c>
      <c r="C38" s="50">
        <f>Calificar!C40</f>
        <v>0</v>
      </c>
      <c r="D38" s="50" t="str">
        <f>CONCATENATE(Tabla12[[#This Row],[Nombre]]," ",Tabla12[[#This Row],[Apellido(s)]])</f>
        <v>0 0</v>
      </c>
      <c r="E38" s="50">
        <f>Calificar!T40</f>
        <v>0</v>
      </c>
      <c r="F38" s="51">
        <f>Calificar!U40</f>
        <v>0</v>
      </c>
      <c r="G38" s="52" t="str">
        <f>Calificar!V40</f>
        <v>No presentó el PA</v>
      </c>
    </row>
    <row r="39" spans="2:7" ht="14.25" customHeight="1">
      <c r="B39" s="49">
        <f>Calificar!B41</f>
        <v>0</v>
      </c>
      <c r="C39" s="50">
        <f>Calificar!C41</f>
        <v>0</v>
      </c>
      <c r="D39" s="50" t="str">
        <f>CONCATENATE(Tabla12[[#This Row],[Nombre]]," ",Tabla12[[#This Row],[Apellido(s)]])</f>
        <v>0 0</v>
      </c>
      <c r="E39" s="50">
        <f>Calificar!T41</f>
        <v>0</v>
      </c>
      <c r="F39" s="51">
        <f>Calificar!U41</f>
        <v>0</v>
      </c>
      <c r="G39" s="52" t="str">
        <f>Calificar!V41</f>
        <v>No presentó el PA</v>
      </c>
    </row>
    <row r="40" spans="2:7" ht="14.25" customHeight="1">
      <c r="B40" s="49">
        <f>Calificar!B42</f>
        <v>0</v>
      </c>
      <c r="C40" s="50">
        <f>Calificar!C42</f>
        <v>0</v>
      </c>
      <c r="D40" s="50" t="str">
        <f>CONCATENATE(Tabla12[[#This Row],[Nombre]]," ",Tabla12[[#This Row],[Apellido(s)]])</f>
        <v>0 0</v>
      </c>
      <c r="E40" s="50">
        <f>Calificar!T42</f>
        <v>0</v>
      </c>
      <c r="F40" s="51">
        <f>Calificar!U42</f>
        <v>0</v>
      </c>
      <c r="G40" s="52" t="str">
        <f>Calificar!V42</f>
        <v>No presentó el PA</v>
      </c>
    </row>
    <row r="41" spans="2:7" ht="14.25" customHeight="1">
      <c r="B41" s="49">
        <f>Calificar!B43</f>
        <v>0</v>
      </c>
      <c r="C41" s="50">
        <f>Calificar!C43</f>
        <v>0</v>
      </c>
      <c r="D41" s="50" t="str">
        <f>CONCATENATE(Tabla12[[#This Row],[Nombre]]," ",Tabla12[[#This Row],[Apellido(s)]])</f>
        <v>0 0</v>
      </c>
      <c r="E41" s="50">
        <f>Calificar!T43</f>
        <v>0</v>
      </c>
      <c r="F41" s="51">
        <f>Calificar!U43</f>
        <v>0</v>
      </c>
      <c r="G41" s="52" t="str">
        <f>Calificar!V43</f>
        <v>No presentó el PA</v>
      </c>
    </row>
    <row r="42" spans="2:7" ht="14.25" customHeight="1">
      <c r="B42" s="49">
        <f>Calificar!B44</f>
        <v>0</v>
      </c>
      <c r="C42" s="50">
        <f>Calificar!C44</f>
        <v>0</v>
      </c>
      <c r="D42" s="50" t="str">
        <f>CONCATENATE(Tabla12[[#This Row],[Nombre]]," ",Tabla12[[#This Row],[Apellido(s)]])</f>
        <v>0 0</v>
      </c>
      <c r="E42" s="50">
        <f>Calificar!T44</f>
        <v>0</v>
      </c>
      <c r="F42" s="51">
        <f>Calificar!U44</f>
        <v>0</v>
      </c>
      <c r="G42" s="52" t="str">
        <f>Calificar!V44</f>
        <v>No presentó el PA</v>
      </c>
    </row>
    <row r="43" spans="2:7" ht="14.25" customHeight="1">
      <c r="B43" s="49">
        <f>Calificar!B45</f>
        <v>0</v>
      </c>
      <c r="C43" s="50">
        <f>Calificar!C45</f>
        <v>0</v>
      </c>
      <c r="D43" s="50" t="str">
        <f>CONCATENATE(Tabla12[[#This Row],[Nombre]]," ",Tabla12[[#This Row],[Apellido(s)]])</f>
        <v>0 0</v>
      </c>
      <c r="E43" s="50">
        <f>Calificar!T45</f>
        <v>0</v>
      </c>
      <c r="F43" s="51">
        <f>Calificar!U45</f>
        <v>0</v>
      </c>
      <c r="G43" s="52" t="str">
        <f>Calificar!V45</f>
        <v>No presentó el PA</v>
      </c>
    </row>
    <row r="44" spans="2:7" ht="14.25" customHeight="1">
      <c r="B44" s="49">
        <f>Calificar!B46</f>
        <v>0</v>
      </c>
      <c r="C44" s="50">
        <f>Calificar!C46</f>
        <v>0</v>
      </c>
      <c r="D44" s="50" t="str">
        <f>CONCATENATE(Tabla12[[#This Row],[Nombre]]," ",Tabla12[[#This Row],[Apellido(s)]])</f>
        <v>0 0</v>
      </c>
      <c r="E44" s="50">
        <f>Calificar!T46</f>
        <v>0</v>
      </c>
      <c r="F44" s="51">
        <f>Calificar!U46</f>
        <v>0</v>
      </c>
      <c r="G44" s="52" t="str">
        <f>Calificar!V46</f>
        <v>No presentó el PA</v>
      </c>
    </row>
    <row r="45" spans="2:7" ht="14.25" customHeight="1">
      <c r="B45" s="49">
        <f>Calificar!B47</f>
        <v>0</v>
      </c>
      <c r="C45" s="50">
        <f>Calificar!C47</f>
        <v>0</v>
      </c>
      <c r="D45" s="50" t="str">
        <f>CONCATENATE(Tabla12[[#This Row],[Nombre]]," ",Tabla12[[#This Row],[Apellido(s)]])</f>
        <v>0 0</v>
      </c>
      <c r="E45" s="50">
        <f>Calificar!T47</f>
        <v>0</v>
      </c>
      <c r="F45" s="51">
        <f>Calificar!U47</f>
        <v>0</v>
      </c>
      <c r="G45" s="52" t="str">
        <f>Calificar!V47</f>
        <v>No presentó el PA</v>
      </c>
    </row>
    <row r="46" spans="2:7" ht="14.25" customHeight="1">
      <c r="B46" s="49">
        <f>Calificar!B48</f>
        <v>0</v>
      </c>
      <c r="C46" s="50">
        <f>Calificar!C48</f>
        <v>0</v>
      </c>
      <c r="D46" s="50" t="str">
        <f>CONCATENATE(Tabla12[[#This Row],[Nombre]]," ",Tabla12[[#This Row],[Apellido(s)]])</f>
        <v>0 0</v>
      </c>
      <c r="E46" s="50">
        <f>Calificar!T48</f>
        <v>0</v>
      </c>
      <c r="F46" s="51">
        <f>Calificar!U48</f>
        <v>0</v>
      </c>
      <c r="G46" s="52" t="str">
        <f>Calificar!V48</f>
        <v>No presentó el PA</v>
      </c>
    </row>
    <row r="47" spans="2:7" ht="14.25" customHeight="1">
      <c r="B47" s="49">
        <f>Calificar!B49</f>
        <v>0</v>
      </c>
      <c r="C47" s="50">
        <f>Calificar!C49</f>
        <v>0</v>
      </c>
      <c r="D47" s="50" t="str">
        <f>CONCATENATE(Tabla12[[#This Row],[Nombre]]," ",Tabla12[[#This Row],[Apellido(s)]])</f>
        <v>0 0</v>
      </c>
      <c r="E47" s="50">
        <f>Calificar!T49</f>
        <v>0</v>
      </c>
      <c r="F47" s="51">
        <f>Calificar!U49</f>
        <v>0</v>
      </c>
      <c r="G47" s="52" t="str">
        <f>Calificar!V49</f>
        <v>No presentó el PA</v>
      </c>
    </row>
    <row r="48" spans="2:7" ht="14.25" customHeight="1">
      <c r="B48" s="49">
        <f>Calificar!B50</f>
        <v>0</v>
      </c>
      <c r="C48" s="50">
        <f>Calificar!C50</f>
        <v>0</v>
      </c>
      <c r="D48" s="50" t="str">
        <f>CONCATENATE(Tabla12[[#This Row],[Nombre]]," ",Tabla12[[#This Row],[Apellido(s)]])</f>
        <v>0 0</v>
      </c>
      <c r="E48" s="50">
        <f>Calificar!T50</f>
        <v>0</v>
      </c>
      <c r="F48" s="51">
        <f>Calificar!U50</f>
        <v>0</v>
      </c>
      <c r="G48" s="52" t="str">
        <f>Calificar!V50</f>
        <v>No presentó el PA</v>
      </c>
    </row>
    <row r="49" spans="2:7" ht="14.25" customHeight="1">
      <c r="B49" s="49">
        <f>Calificar!B51</f>
        <v>0</v>
      </c>
      <c r="C49" s="50">
        <f>Calificar!C51</f>
        <v>0</v>
      </c>
      <c r="D49" s="50" t="str">
        <f>CONCATENATE(Tabla12[[#This Row],[Nombre]]," ",Tabla12[[#This Row],[Apellido(s)]])</f>
        <v>0 0</v>
      </c>
      <c r="E49" s="50">
        <f>Calificar!T51</f>
        <v>0</v>
      </c>
      <c r="F49" s="51">
        <f>Calificar!U51</f>
        <v>0</v>
      </c>
      <c r="G49" s="52" t="str">
        <f>Calificar!V51</f>
        <v>No presentó el PA</v>
      </c>
    </row>
    <row r="50" spans="2:7" ht="14.25" customHeight="1">
      <c r="B50" s="49">
        <f>Calificar!B52</f>
        <v>0</v>
      </c>
      <c r="C50" s="50">
        <f>Calificar!C52</f>
        <v>0</v>
      </c>
      <c r="D50" s="50" t="str">
        <f>CONCATENATE(Tabla12[[#This Row],[Nombre]]," ",Tabla12[[#This Row],[Apellido(s)]])</f>
        <v>0 0</v>
      </c>
      <c r="E50" s="50">
        <f>Calificar!T52</f>
        <v>0</v>
      </c>
      <c r="F50" s="51">
        <f>Calificar!U52</f>
        <v>0</v>
      </c>
      <c r="G50" s="52" t="str">
        <f>Calificar!V52</f>
        <v>No presentó el PA</v>
      </c>
    </row>
    <row r="51" spans="2:7" ht="14.25" customHeight="1">
      <c r="B51" s="49">
        <f>Calificar!B53</f>
        <v>0</v>
      </c>
      <c r="C51" s="50">
        <f>Calificar!C53</f>
        <v>0</v>
      </c>
      <c r="D51" s="50" t="str">
        <f>CONCATENATE(Tabla12[[#This Row],[Nombre]]," ",Tabla12[[#This Row],[Apellido(s)]])</f>
        <v>0 0</v>
      </c>
      <c r="E51" s="50">
        <f>Calificar!T53</f>
        <v>0</v>
      </c>
      <c r="F51" s="51">
        <f>Calificar!U53</f>
        <v>0</v>
      </c>
      <c r="G51" s="52" t="str">
        <f>Calificar!V53</f>
        <v>No presentó el PA</v>
      </c>
    </row>
    <row r="52" spans="2:7" ht="14.25" customHeight="1">
      <c r="B52" s="49">
        <f>Calificar!B54</f>
        <v>0</v>
      </c>
      <c r="C52" s="50">
        <f>Calificar!C54</f>
        <v>0</v>
      </c>
      <c r="D52" s="50" t="str">
        <f>CONCATENATE(Tabla12[[#This Row],[Nombre]]," ",Tabla12[[#This Row],[Apellido(s)]])</f>
        <v>0 0</v>
      </c>
      <c r="E52" s="50">
        <f>Calificar!T54</f>
        <v>0</v>
      </c>
      <c r="F52" s="51">
        <f>Calificar!U54</f>
        <v>0</v>
      </c>
      <c r="G52" s="52" t="str">
        <f>Calificar!V54</f>
        <v>No presentó el PA</v>
      </c>
    </row>
    <row r="53" spans="2:7" ht="14.25" customHeight="1">
      <c r="B53" s="49">
        <f>Calificar!B55</f>
        <v>0</v>
      </c>
      <c r="C53" s="50">
        <f>Calificar!C55</f>
        <v>0</v>
      </c>
      <c r="D53" s="50" t="str">
        <f>CONCATENATE(Tabla12[[#This Row],[Nombre]]," ",Tabla12[[#This Row],[Apellido(s)]])</f>
        <v>0 0</v>
      </c>
      <c r="E53" s="50">
        <f>Calificar!T55</f>
        <v>0</v>
      </c>
      <c r="F53" s="51">
        <f>Calificar!U55</f>
        <v>0</v>
      </c>
      <c r="G53" s="52" t="str">
        <f>Calificar!V55</f>
        <v>No presentó el PA</v>
      </c>
    </row>
    <row r="54" spans="2:7" ht="14.25" customHeight="1">
      <c r="B54" s="49">
        <f>Calificar!B56</f>
        <v>0</v>
      </c>
      <c r="C54" s="50">
        <f>Calificar!C56</f>
        <v>0</v>
      </c>
      <c r="D54" s="50" t="str">
        <f>CONCATENATE(Tabla12[[#This Row],[Nombre]]," ",Tabla12[[#This Row],[Apellido(s)]])</f>
        <v>0 0</v>
      </c>
      <c r="E54" s="50">
        <f>Calificar!T56</f>
        <v>0</v>
      </c>
      <c r="F54" s="51">
        <f>Calificar!U56</f>
        <v>0</v>
      </c>
      <c r="G54" s="52" t="str">
        <f>Calificar!V56</f>
        <v>No presentó el PA</v>
      </c>
    </row>
    <row r="55" spans="2:7" ht="14.25" customHeight="1">
      <c r="B55" s="49">
        <f>Calificar!B57</f>
        <v>0</v>
      </c>
      <c r="C55" s="50">
        <f>Calificar!C57</f>
        <v>0</v>
      </c>
      <c r="D55" s="50" t="str">
        <f>CONCATENATE(Tabla12[[#This Row],[Nombre]]," ",Tabla12[[#This Row],[Apellido(s)]])</f>
        <v>0 0</v>
      </c>
      <c r="E55" s="50">
        <f>Calificar!T57</f>
        <v>0</v>
      </c>
      <c r="F55" s="51">
        <f>Calificar!U57</f>
        <v>0</v>
      </c>
      <c r="G55" s="52" t="str">
        <f>Calificar!V57</f>
        <v>No presentó el PA</v>
      </c>
    </row>
    <row r="56" spans="2:7" ht="14.25" customHeight="1">
      <c r="B56" s="49">
        <f>Calificar!B58</f>
        <v>0</v>
      </c>
      <c r="C56" s="50">
        <f>Calificar!C58</f>
        <v>0</v>
      </c>
      <c r="D56" s="50" t="str">
        <f>CONCATENATE(Tabla12[[#This Row],[Nombre]]," ",Tabla12[[#This Row],[Apellido(s)]])</f>
        <v>0 0</v>
      </c>
      <c r="E56" s="50">
        <f>Calificar!T58</f>
        <v>0</v>
      </c>
      <c r="F56" s="51">
        <f>Calificar!U58</f>
        <v>0</v>
      </c>
      <c r="G56" s="52" t="str">
        <f>Calificar!V58</f>
        <v>No presentó el PA</v>
      </c>
    </row>
    <row r="57" spans="2:7" ht="14.25" customHeight="1">
      <c r="B57" s="49">
        <f>Calificar!B59</f>
        <v>0</v>
      </c>
      <c r="C57" s="50">
        <f>Calificar!C59</f>
        <v>0</v>
      </c>
      <c r="D57" s="50" t="str">
        <f>CONCATENATE(Tabla12[[#This Row],[Nombre]]," ",Tabla12[[#This Row],[Apellido(s)]])</f>
        <v>0 0</v>
      </c>
      <c r="E57" s="50">
        <f>Calificar!T59</f>
        <v>0</v>
      </c>
      <c r="F57" s="51">
        <f>Calificar!U59</f>
        <v>0</v>
      </c>
      <c r="G57" s="52" t="str">
        <f>Calificar!V59</f>
        <v>No presentó el PA</v>
      </c>
    </row>
    <row r="58" spans="2:7" ht="14.25" customHeight="1">
      <c r="B58" s="49">
        <f>Calificar!B60</f>
        <v>0</v>
      </c>
      <c r="C58" s="50">
        <f>Calificar!C60</f>
        <v>0</v>
      </c>
      <c r="D58" s="50" t="str">
        <f>CONCATENATE(Tabla12[[#This Row],[Nombre]]," ",Tabla12[[#This Row],[Apellido(s)]])</f>
        <v>0 0</v>
      </c>
      <c r="E58" s="50">
        <f>Calificar!T60</f>
        <v>0</v>
      </c>
      <c r="F58" s="51">
        <f>Calificar!U60</f>
        <v>0</v>
      </c>
      <c r="G58" s="52" t="str">
        <f>Calificar!V60</f>
        <v>No presentó el PA</v>
      </c>
    </row>
    <row r="59" spans="2:7" ht="14.25" customHeight="1">
      <c r="B59" s="49">
        <f>Calificar!B61</f>
        <v>0</v>
      </c>
      <c r="C59" s="50">
        <f>Calificar!C61</f>
        <v>0</v>
      </c>
      <c r="D59" s="50" t="str">
        <f>CONCATENATE(Tabla12[[#This Row],[Nombre]]," ",Tabla12[[#This Row],[Apellido(s)]])</f>
        <v>0 0</v>
      </c>
      <c r="E59" s="50">
        <f>Calificar!T61</f>
        <v>0</v>
      </c>
      <c r="F59" s="51">
        <f>Calificar!U61</f>
        <v>0</v>
      </c>
      <c r="G59" s="52" t="str">
        <f>Calificar!V61</f>
        <v>No presentó el PA</v>
      </c>
    </row>
    <row r="60" spans="2:7" ht="14.25" customHeight="1">
      <c r="B60" s="49">
        <f>Calificar!B62</f>
        <v>0</v>
      </c>
      <c r="C60" s="50">
        <f>Calificar!C62</f>
        <v>0</v>
      </c>
      <c r="D60" s="50" t="str">
        <f>CONCATENATE(Tabla12[[#This Row],[Nombre]]," ",Tabla12[[#This Row],[Apellido(s)]])</f>
        <v>0 0</v>
      </c>
      <c r="E60" s="50">
        <f>Calificar!T62</f>
        <v>0</v>
      </c>
      <c r="F60" s="51">
        <f>Calificar!U62</f>
        <v>0</v>
      </c>
      <c r="G60" s="52" t="str">
        <f>Calificar!V62</f>
        <v>No presentó el PA</v>
      </c>
    </row>
    <row r="61" spans="2:7" ht="14.25" customHeight="1">
      <c r="B61" s="49">
        <f>Calificar!B63</f>
        <v>0</v>
      </c>
      <c r="C61" s="50">
        <f>Calificar!C63</f>
        <v>0</v>
      </c>
      <c r="D61" s="50" t="str">
        <f>CONCATENATE(Tabla12[[#This Row],[Nombre]]," ",Tabla12[[#This Row],[Apellido(s)]])</f>
        <v>0 0</v>
      </c>
      <c r="E61" s="50">
        <f>Calificar!T63</f>
        <v>0</v>
      </c>
      <c r="F61" s="51">
        <f>Calificar!U63</f>
        <v>0</v>
      </c>
      <c r="G61" s="52" t="str">
        <f>Calificar!V63</f>
        <v>No presentó el PA</v>
      </c>
    </row>
    <row r="62" spans="2:7" ht="14.25" customHeight="1">
      <c r="B62" s="42">
        <f>Calificar!B64</f>
        <v>0</v>
      </c>
      <c r="C62" s="43">
        <f>Calificar!C64</f>
        <v>0</v>
      </c>
      <c r="D62" s="43" t="str">
        <f>CONCATENATE(Tabla12[[#This Row],[Nombre]]," ",Tabla12[[#This Row],[Apellido(s)]])</f>
        <v>0 0</v>
      </c>
      <c r="E62" s="43">
        <f>Calificar!T64</f>
        <v>0</v>
      </c>
      <c r="F62" s="53">
        <f>Calificar!U64</f>
        <v>0</v>
      </c>
      <c r="G62" s="54" t="str">
        <f>Calificar!V64</f>
        <v>No presentó el PA</v>
      </c>
    </row>
  </sheetData>
  <mergeCells count="1">
    <mergeCell ref="D1:G1"/>
  </mergeCells>
  <pageMargins left="0.7" right="0.7" top="0.75" bottom="0.75" header="0" footer="0"/>
  <pageSetup scale="78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92630-590F-43B9-B4E8-08E3E60C9C5B}">
  <sheetPr codeName="Hoja4">
    <tabColor rgb="FFFDB80B"/>
  </sheetPr>
  <dimension ref="A1:F25"/>
  <sheetViews>
    <sheetView showGridLines="0" view="pageBreakPreview" zoomScaleNormal="100" zoomScaleSheetLayoutView="100" workbookViewId="0">
      <selection activeCell="F24" sqref="F24"/>
    </sheetView>
  </sheetViews>
  <sheetFormatPr baseColWidth="10" defaultRowHeight="14.25"/>
  <cols>
    <col min="1" max="1" width="7.5" customWidth="1"/>
    <col min="2" max="2" width="20.875" bestFit="1" customWidth="1"/>
    <col min="3" max="3" width="6" customWidth="1"/>
    <col min="4" max="6" width="27.375" customWidth="1"/>
    <col min="7" max="47" width="27.625" bestFit="1" customWidth="1"/>
    <col min="48" max="48" width="12.625" bestFit="1" customWidth="1"/>
  </cols>
  <sheetData>
    <row r="1" spans="1:6" ht="27.75">
      <c r="A1" s="87" t="s">
        <v>49</v>
      </c>
      <c r="B1" s="87"/>
      <c r="C1" s="87"/>
      <c r="D1" s="87"/>
      <c r="E1" s="87"/>
      <c r="F1" s="87"/>
    </row>
    <row r="2" spans="1:6" ht="16.5" customHeight="1"/>
    <row r="3" spans="1:6" ht="16.5" customHeight="1"/>
    <row r="23" spans="2:3">
      <c r="B23" s="44" t="s">
        <v>43</v>
      </c>
      <c r="C23" t="s">
        <v>45</v>
      </c>
    </row>
    <row r="24" spans="2:3">
      <c r="B24" s="45" t="s">
        <v>44</v>
      </c>
      <c r="C24" s="55">
        <v>0</v>
      </c>
    </row>
    <row r="25" spans="2:3">
      <c r="B25" s="45" t="s">
        <v>42</v>
      </c>
      <c r="C25" s="55">
        <v>0</v>
      </c>
    </row>
  </sheetData>
  <mergeCells count="1">
    <mergeCell ref="A1:F1"/>
  </mergeCells>
  <conditionalFormatting sqref="C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:B6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scale="6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Feedback</vt:lpstr>
      <vt:lpstr>Calificar</vt:lpstr>
      <vt:lpstr>Importar</vt:lpstr>
      <vt:lpstr>Analítica</vt:lpstr>
      <vt:lpstr>Analítica!Área_de_impresión</vt:lpstr>
      <vt:lpstr>Calificar!Área_de_impresión</vt:lpstr>
      <vt:lpstr>Feedback!Área_de_impresión</vt:lpstr>
      <vt:lpstr>Puntos</vt:lpstr>
      <vt:lpstr>Puntos_PA</vt:lpstr>
      <vt:lpstr>Puntos_TE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FILIBERTO CCERES BACA</dc:creator>
  <cp:lastModifiedBy>Pedro Josue Sota Rios</cp:lastModifiedBy>
  <dcterms:created xsi:type="dcterms:W3CDTF">2022-04-09T18:32:30Z</dcterms:created>
  <dcterms:modified xsi:type="dcterms:W3CDTF">2024-03-02T04:11:12Z</dcterms:modified>
</cp:coreProperties>
</file>